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JAIN\Desktop\psycho py\"/>
    </mc:Choice>
  </mc:AlternateContent>
  <xr:revisionPtr revIDLastSave="0" documentId="13_ncr:9_{90234082-DB37-45F5-BCC8-AEA7EA990AF8}" xr6:coauthVersionLast="47" xr6:coauthVersionMax="47" xr10:uidLastSave="{00000000-0000-0000-0000-000000000000}"/>
  <bookViews>
    <workbookView xWindow="-108" yWindow="-108" windowWidth="23256" windowHeight="12456" activeTab="1" xr2:uid="{88AF1E79-E8CF-43B2-88C3-2AECB1AADA75}"/>
  </bookViews>
  <sheets>
    <sheet name="051741_Orientation Discriminati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U16" i="2" l="1"/>
  <c r="U15" i="2"/>
  <c r="U12" i="2"/>
  <c r="U11" i="2"/>
  <c r="F103" i="2"/>
  <c r="G103" i="2"/>
  <c r="H103" i="2"/>
  <c r="E103" i="2"/>
</calcChain>
</file>

<file path=xl/sharedStrings.xml><?xml version="1.0" encoding="utf-8"?>
<sst xmlns="http://schemas.openxmlformats.org/spreadsheetml/2006/main" count="959" uniqueCount="60">
  <si>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</si>
  <si>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</si>
  <si>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</si>
  <si>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</si>
  <si>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</si>
  <si>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</si>
  <si>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</si>
  <si>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</si>
  <si>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</si>
  <si>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</si>
  <si>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</si>
  <si>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</si>
  <si>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</si>
  <si>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</si>
  <si>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</si>
  <si>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</si>
  <si>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Fixation.stopped</t>
  </si>
  <si>
    <t>key_resp.started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</si>
  <si>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</si>
  <si>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</si>
  <si>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</si>
  <si>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</si>
  <si>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</si>
  <si>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</si>
  <si>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</si>
  <si>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</si>
  <si>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</si>
  <si>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</si>
  <si>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</si>
  <si>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</si>
  <si>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</si>
  <si>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</si>
  <si>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</si>
  <si>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</si>
  <si>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2025-09-08_16h11.58.664</t>
  </si>
  <si>
    <t>Orientation Discrimination Task</t>
  </si>
  <si>
    <t>2025.1.1</t>
  </si>
  <si>
    <t>2025-09-08 16h12.05.652880 +0530</t>
  </si>
  <si>
    <t>down</t>
  </si>
  <si>
    <t>HIT</t>
  </si>
  <si>
    <t>MISS</t>
  </si>
  <si>
    <t>FA</t>
  </si>
  <si>
    <t>CR</t>
  </si>
  <si>
    <t>Respond YES</t>
  </si>
  <si>
    <t>Respond NO</t>
  </si>
  <si>
    <t xml:space="preserve"> prop hit = hit/hit+miss</t>
  </si>
  <si>
    <t xml:space="preserve">Signal Present </t>
  </si>
  <si>
    <t xml:space="preserve">Hit </t>
  </si>
  <si>
    <t>Miss</t>
  </si>
  <si>
    <t xml:space="preserve">prop fa = fa/fa+corr rejection </t>
  </si>
  <si>
    <t xml:space="preserve">Signal Absent </t>
  </si>
  <si>
    <t xml:space="preserve">False Alarm </t>
  </si>
  <si>
    <t xml:space="preserve">Correct Rejection </t>
  </si>
  <si>
    <t>d-prime = z(prop hit) -z(prop fa)</t>
  </si>
  <si>
    <t>c = - z(prop hit) + Z(prop fa)/2</t>
  </si>
  <si>
    <t>TILT</t>
  </si>
  <si>
    <t>0=up=hit</t>
  </si>
  <si>
    <t>0=down=miss</t>
  </si>
  <si>
    <t>num=up=fa</t>
  </si>
  <si>
    <t>num=down=cr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</si>
</sst>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-4</c:v>
                </c:pt>
                <c:pt idx="8">
                  <c:v>-4</c:v>
                </c:pt>
                <c:pt idx="9">
                  <c:v>0</c:v>
                </c:pt>
                <c:pt idx="10">
                  <c:v>-3</c:v>
                </c:pt>
                <c:pt idx="11">
                  <c:v>3</c:v>
                </c:pt>
                <c:pt idx="12">
                  <c:v>3</c:v>
                </c:pt>
                <c:pt idx="13">
                  <c:v>-2</c:v>
                </c:pt>
                <c:pt idx="14">
                  <c:v>-5</c:v>
                </c:pt>
                <c:pt idx="15">
                  <c:v>0</c:v>
                </c:pt>
                <c:pt idx="16">
                  <c:v>-3</c:v>
                </c:pt>
                <c:pt idx="17">
                  <c:v>0</c:v>
                </c:pt>
                <c:pt idx="18">
                  <c:v>0</c:v>
                </c:pt>
                <c:pt idx="19">
                  <c:v>-4</c:v>
                </c:pt>
                <c:pt idx="20">
                  <c:v>4</c:v>
                </c:pt>
                <c:pt idx="21">
                  <c:v>0</c:v>
                </c:pt>
                <c:pt idx="22">
                  <c:v>3</c:v>
                </c:pt>
                <c:pt idx="23">
                  <c:v>-2</c:v>
                </c:pt>
                <c:pt idx="24">
                  <c:v>0</c:v>
                </c:pt>
                <c:pt idx="25">
                  <c:v>3</c:v>
                </c:pt>
                <c:pt idx="26">
                  <c:v>-5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</c:v>
                </c:pt>
                <c:pt idx="31">
                  <c:v>0</c:v>
                </c:pt>
                <c:pt idx="32">
                  <c:v>3</c:v>
                </c:pt>
                <c:pt idx="33">
                  <c:v>0</c:v>
                </c:pt>
                <c:pt idx="34">
                  <c:v>1</c:v>
                </c:pt>
                <c:pt idx="35">
                  <c:v>-5</c:v>
                </c:pt>
                <c:pt idx="36">
                  <c:v>4</c:v>
                </c:pt>
                <c:pt idx="37">
                  <c:v>0</c:v>
                </c:pt>
                <c:pt idx="38">
                  <c:v>-2</c:v>
                </c:pt>
                <c:pt idx="39">
                  <c:v>-3</c:v>
                </c:pt>
                <c:pt idx="40">
                  <c:v>0</c:v>
                </c:pt>
                <c:pt idx="41">
                  <c:v>-2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0</c:v>
                </c:pt>
                <c:pt idx="46">
                  <c:v>-3</c:v>
                </c:pt>
                <c:pt idx="47">
                  <c:v>0</c:v>
                </c:pt>
                <c:pt idx="48">
                  <c:v>1</c:v>
                </c:pt>
                <c:pt idx="49">
                  <c:v>-5</c:v>
                </c:pt>
                <c:pt idx="50">
                  <c:v>-4</c:v>
                </c:pt>
                <c:pt idx="51">
                  <c:v>1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-3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-3</c:v>
                </c:pt>
                <c:pt idx="60">
                  <c:v>-4</c:v>
                </c:pt>
                <c:pt idx="61">
                  <c:v>0</c:v>
                </c:pt>
                <c:pt idx="62">
                  <c:v>-4</c:v>
                </c:pt>
                <c:pt idx="63">
                  <c:v>-3</c:v>
                </c:pt>
                <c:pt idx="64">
                  <c:v>4</c:v>
                </c:pt>
                <c:pt idx="65">
                  <c:v>0</c:v>
                </c:pt>
                <c:pt idx="66">
                  <c:v>-5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-2</c:v>
                </c:pt>
                <c:pt idx="72">
                  <c:v>0</c:v>
                </c:pt>
                <c:pt idx="73">
                  <c:v>0</c:v>
                </c:pt>
                <c:pt idx="74">
                  <c:v>-3</c:v>
                </c:pt>
                <c:pt idx="75">
                  <c:v>0</c:v>
                </c:pt>
                <c:pt idx="76">
                  <c:v>-2</c:v>
                </c:pt>
                <c:pt idx="77">
                  <c:v>-3</c:v>
                </c:pt>
                <c:pt idx="78">
                  <c:v>0</c:v>
                </c:pt>
                <c:pt idx="79">
                  <c:v>3</c:v>
                </c:pt>
                <c:pt idx="80">
                  <c:v>-5</c:v>
                </c:pt>
                <c:pt idx="81">
                  <c:v>-3</c:v>
                </c:pt>
                <c:pt idx="82">
                  <c:v>0</c:v>
                </c:pt>
                <c:pt idx="83">
                  <c:v>-2</c:v>
                </c:pt>
                <c:pt idx="84">
                  <c:v>0</c:v>
                </c:pt>
                <c:pt idx="85">
                  <c:v>-5</c:v>
                </c:pt>
                <c:pt idx="86">
                  <c:v>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-5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0</c:v>
                </c:pt>
                <c:pt idx="98">
                  <c:v>3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9-4B8F-95A9-E30E5470D41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78542784"/>
        <c:axId val="578543264"/>
      </c:lineChart>
      <c:catAx>
        <c:axId val="57854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43264"/>
        <c:crosses val="autoZero"/>
        <c:auto val="1"/>
        <c:lblAlgn val="ctr"/>
        <c:lblOffset val="100"/>
        <c:noMultiLvlLbl val="0"/>
      </c:catAx>
      <c:valAx>
        <c:axId val="57854326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4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82</xdr:row>
      <xdr:rowOff>102870</xdr:rowOff>
    </xdr:from>
    <xdr:to>
      <xdr:col>16</xdr:col>
      <xdr:colOff>22860</xdr:colOff>
      <xdr:row>97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814F49-FE0B-4006-4083-302891560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1E77-2B30-472F-AF30-C7AE517D79C1}">
  <dimension ref="A1:AF101"/>
  <sheetViews>
    <sheetView workbookViewId="0">
      <selection activeCell="F1" sqref="F1:F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 t="s">
        <v>32</v>
      </c>
      <c r="F2">
        <v>1</v>
      </c>
      <c r="G2">
        <v>0.79863459989428498</v>
      </c>
      <c r="H2" t="s">
        <v>33</v>
      </c>
      <c r="I2">
        <v>0</v>
      </c>
      <c r="J2">
        <v>0</v>
      </c>
      <c r="K2">
        <v>0</v>
      </c>
      <c r="L2">
        <v>0</v>
      </c>
      <c r="M2">
        <v>1.1814400088042E-2</v>
      </c>
      <c r="O2">
        <v>6.49080006405711E-3</v>
      </c>
      <c r="P2">
        <v>1.1814400088042E-2</v>
      </c>
      <c r="Q2">
        <v>1.01167419995181</v>
      </c>
      <c r="R2">
        <v>1.01167419995181</v>
      </c>
      <c r="S2">
        <v>1.8128420000430101</v>
      </c>
      <c r="T2">
        <v>0</v>
      </c>
      <c r="U2" t="s">
        <v>32</v>
      </c>
      <c r="V2">
        <v>1</v>
      </c>
      <c r="W2">
        <v>0.79863459989428498</v>
      </c>
      <c r="X2" t="s">
        <v>33</v>
      </c>
      <c r="Y2">
        <v>51741</v>
      </c>
      <c r="Z2">
        <v>1</v>
      </c>
      <c r="AA2" t="s">
        <v>34</v>
      </c>
      <c r="AB2" t="s">
        <v>35</v>
      </c>
      <c r="AD2" t="s">
        <v>36</v>
      </c>
      <c r="AE2">
        <v>59.990737387552898</v>
      </c>
      <c r="AF2" t="s">
        <v>37</v>
      </c>
    </row>
    <row r="3" spans="1:32" x14ac:dyDescent="0.3">
      <c r="A3">
        <v>1</v>
      </c>
      <c r="B3">
        <v>0</v>
      </c>
      <c r="C3">
        <v>1</v>
      </c>
      <c r="D3">
        <v>0</v>
      </c>
      <c r="E3" t="s">
        <v>32</v>
      </c>
      <c r="F3">
        <v>1</v>
      </c>
      <c r="G3">
        <v>0.74145630002021701</v>
      </c>
      <c r="H3" t="s">
        <v>33</v>
      </c>
      <c r="I3">
        <v>1</v>
      </c>
      <c r="J3">
        <v>0</v>
      </c>
      <c r="K3">
        <v>1</v>
      </c>
      <c r="L3">
        <v>0</v>
      </c>
      <c r="M3">
        <v>1.8278107000514801</v>
      </c>
      <c r="O3">
        <v>1.8133622000459499</v>
      </c>
      <c r="P3">
        <v>1.8278107000514801</v>
      </c>
      <c r="Q3">
        <v>2.8285099999047798</v>
      </c>
      <c r="R3">
        <v>2.8285099999047798</v>
      </c>
      <c r="S3">
        <v>3.57947120000608</v>
      </c>
      <c r="T3">
        <v>0</v>
      </c>
      <c r="U3" t="s">
        <v>32</v>
      </c>
      <c r="V3">
        <v>1</v>
      </c>
      <c r="W3">
        <v>0.74145630002021701</v>
      </c>
      <c r="X3" t="s">
        <v>33</v>
      </c>
      <c r="Y3">
        <v>51741</v>
      </c>
      <c r="Z3">
        <v>1</v>
      </c>
      <c r="AA3" t="s">
        <v>34</v>
      </c>
      <c r="AB3" t="s">
        <v>35</v>
      </c>
      <c r="AD3" t="s">
        <v>36</v>
      </c>
      <c r="AE3">
        <v>59.990737387552898</v>
      </c>
      <c r="AF3" t="s">
        <v>37</v>
      </c>
    </row>
    <row r="4" spans="1:32" x14ac:dyDescent="0.3">
      <c r="A4">
        <v>2</v>
      </c>
      <c r="B4">
        <v>0</v>
      </c>
      <c r="C4">
        <v>2</v>
      </c>
      <c r="D4">
        <v>0</v>
      </c>
      <c r="E4" t="s">
        <v>38</v>
      </c>
      <c r="F4">
        <v>0</v>
      </c>
      <c r="G4">
        <v>0.59024280006997198</v>
      </c>
      <c r="H4" t="s">
        <v>33</v>
      </c>
      <c r="I4">
        <v>2</v>
      </c>
      <c r="J4">
        <v>0</v>
      </c>
      <c r="K4">
        <v>2</v>
      </c>
      <c r="L4">
        <v>0</v>
      </c>
      <c r="M4">
        <v>3.59511399990879</v>
      </c>
      <c r="O4">
        <v>3.58002449991181</v>
      </c>
      <c r="P4">
        <v>3.59511399990879</v>
      </c>
      <c r="Q4">
        <v>4.5953251000028104</v>
      </c>
      <c r="R4">
        <v>4.5953251000028104</v>
      </c>
      <c r="S4">
        <v>5.1965145999565703</v>
      </c>
      <c r="T4">
        <v>0</v>
      </c>
      <c r="U4" t="s">
        <v>38</v>
      </c>
      <c r="V4">
        <v>0</v>
      </c>
      <c r="W4">
        <v>0.59024280006997198</v>
      </c>
      <c r="X4" t="s">
        <v>33</v>
      </c>
      <c r="Y4">
        <v>51741</v>
      </c>
      <c r="Z4">
        <v>1</v>
      </c>
      <c r="AA4" t="s">
        <v>34</v>
      </c>
      <c r="AB4" t="s">
        <v>35</v>
      </c>
      <c r="AD4" t="s">
        <v>36</v>
      </c>
      <c r="AE4">
        <v>59.990737387552898</v>
      </c>
      <c r="AF4" t="s">
        <v>37</v>
      </c>
    </row>
    <row r="5" spans="1:32" x14ac:dyDescent="0.3">
      <c r="A5">
        <v>3</v>
      </c>
      <c r="B5">
        <v>0</v>
      </c>
      <c r="C5">
        <v>3</v>
      </c>
      <c r="D5">
        <v>2</v>
      </c>
      <c r="E5" t="s">
        <v>38</v>
      </c>
      <c r="F5">
        <v>1</v>
      </c>
      <c r="G5">
        <v>0.53696410008706097</v>
      </c>
      <c r="H5" t="s">
        <v>33</v>
      </c>
      <c r="I5">
        <v>3</v>
      </c>
      <c r="J5">
        <v>0</v>
      </c>
      <c r="K5">
        <v>3</v>
      </c>
      <c r="L5">
        <v>0</v>
      </c>
      <c r="M5">
        <v>5.2120525999926004</v>
      </c>
      <c r="O5">
        <v>5.1971982999239099</v>
      </c>
      <c r="P5">
        <v>5.2120525999926004</v>
      </c>
      <c r="Q5">
        <v>6.2115209000185096</v>
      </c>
      <c r="R5">
        <v>6.2115209000185096</v>
      </c>
      <c r="S5">
        <v>6.7629414000548396</v>
      </c>
      <c r="T5">
        <v>2</v>
      </c>
      <c r="U5" t="s">
        <v>38</v>
      </c>
      <c r="V5">
        <v>1</v>
      </c>
      <c r="W5">
        <v>0.53696410008706097</v>
      </c>
      <c r="X5" t="s">
        <v>33</v>
      </c>
      <c r="Y5">
        <v>51741</v>
      </c>
      <c r="Z5">
        <v>1</v>
      </c>
      <c r="AA5" t="s">
        <v>34</v>
      </c>
      <c r="AB5" t="s">
        <v>35</v>
      </c>
      <c r="AD5" t="s">
        <v>36</v>
      </c>
      <c r="AE5">
        <v>59.990737387552898</v>
      </c>
      <c r="AF5" t="s">
        <v>37</v>
      </c>
    </row>
    <row r="6" spans="1:32" x14ac:dyDescent="0.3">
      <c r="A6">
        <v>4</v>
      </c>
      <c r="B6">
        <v>0</v>
      </c>
      <c r="C6">
        <v>4</v>
      </c>
      <c r="D6">
        <v>0</v>
      </c>
      <c r="E6" t="s">
        <v>32</v>
      </c>
      <c r="F6">
        <v>1</v>
      </c>
      <c r="G6">
        <v>0.60613330011255995</v>
      </c>
      <c r="H6" t="s">
        <v>33</v>
      </c>
      <c r="I6">
        <v>4</v>
      </c>
      <c r="J6">
        <v>0</v>
      </c>
      <c r="K6">
        <v>4</v>
      </c>
      <c r="L6">
        <v>0</v>
      </c>
      <c r="M6">
        <v>6.7784015000797799</v>
      </c>
      <c r="O6">
        <v>6.7634169999509997</v>
      </c>
      <c r="P6">
        <v>6.7784015000797799</v>
      </c>
      <c r="Q6">
        <v>7.7784144999459297</v>
      </c>
      <c r="R6">
        <v>7.7784144999459297</v>
      </c>
      <c r="S6">
        <v>8.3969153999350894</v>
      </c>
      <c r="T6">
        <v>0</v>
      </c>
      <c r="U6" t="s">
        <v>32</v>
      </c>
      <c r="V6">
        <v>1</v>
      </c>
      <c r="W6">
        <v>0.60613330011255995</v>
      </c>
      <c r="X6" t="s">
        <v>33</v>
      </c>
      <c r="Y6">
        <v>51741</v>
      </c>
      <c r="Z6">
        <v>1</v>
      </c>
      <c r="AA6" t="s">
        <v>34</v>
      </c>
      <c r="AB6" t="s">
        <v>35</v>
      </c>
      <c r="AD6" t="s">
        <v>36</v>
      </c>
      <c r="AE6">
        <v>59.990737387552898</v>
      </c>
      <c r="AF6" t="s">
        <v>37</v>
      </c>
    </row>
    <row r="7" spans="1:32" x14ac:dyDescent="0.3">
      <c r="A7">
        <v>5</v>
      </c>
      <c r="B7">
        <v>0</v>
      </c>
      <c r="C7">
        <v>5</v>
      </c>
      <c r="D7">
        <v>0</v>
      </c>
      <c r="E7" t="s">
        <v>38</v>
      </c>
      <c r="F7">
        <v>0</v>
      </c>
      <c r="G7">
        <v>0.47823620005510697</v>
      </c>
      <c r="H7" t="s">
        <v>33</v>
      </c>
      <c r="I7">
        <v>5</v>
      </c>
      <c r="J7">
        <v>0</v>
      </c>
      <c r="K7">
        <v>5</v>
      </c>
      <c r="L7">
        <v>0</v>
      </c>
      <c r="M7">
        <v>8.4111983000766397</v>
      </c>
      <c r="O7">
        <v>8.3977723999414593</v>
      </c>
      <c r="P7">
        <v>8.4111983000766397</v>
      </c>
      <c r="Q7">
        <v>9.4119047001004201</v>
      </c>
      <c r="R7">
        <v>9.4119047001004201</v>
      </c>
      <c r="S7">
        <v>9.8962089999113196</v>
      </c>
      <c r="T7">
        <v>0</v>
      </c>
      <c r="U7" t="s">
        <v>38</v>
      </c>
      <c r="V7">
        <v>0</v>
      </c>
      <c r="W7">
        <v>0.47823620005510697</v>
      </c>
      <c r="X7" t="s">
        <v>33</v>
      </c>
      <c r="Y7">
        <v>51741</v>
      </c>
      <c r="Z7">
        <v>1</v>
      </c>
      <c r="AA7" t="s">
        <v>34</v>
      </c>
      <c r="AB7" t="s">
        <v>35</v>
      </c>
      <c r="AD7" t="s">
        <v>36</v>
      </c>
      <c r="AE7">
        <v>59.990737387552898</v>
      </c>
      <c r="AF7" t="s">
        <v>37</v>
      </c>
    </row>
    <row r="8" spans="1:32" x14ac:dyDescent="0.3">
      <c r="A8">
        <v>6</v>
      </c>
      <c r="B8">
        <v>0</v>
      </c>
      <c r="C8">
        <v>6</v>
      </c>
      <c r="D8">
        <v>2</v>
      </c>
      <c r="E8" t="s">
        <v>32</v>
      </c>
      <c r="F8">
        <v>0</v>
      </c>
      <c r="G8">
        <v>0.362468200037255</v>
      </c>
      <c r="H8" t="s">
        <v>33</v>
      </c>
      <c r="I8">
        <v>6</v>
      </c>
      <c r="J8">
        <v>0</v>
      </c>
      <c r="K8">
        <v>6</v>
      </c>
      <c r="L8">
        <v>0</v>
      </c>
      <c r="M8">
        <v>9.9114125999621994</v>
      </c>
      <c r="O8">
        <v>9.8968712000641901</v>
      </c>
      <c r="P8">
        <v>9.9114125999621994</v>
      </c>
      <c r="Q8">
        <v>10.9118906001094</v>
      </c>
      <c r="R8">
        <v>10.9118906001094</v>
      </c>
      <c r="S8">
        <v>11.2789431000128</v>
      </c>
      <c r="T8">
        <v>2</v>
      </c>
      <c r="U8" t="s">
        <v>32</v>
      </c>
      <c r="V8">
        <v>0</v>
      </c>
      <c r="W8">
        <v>0.362468200037255</v>
      </c>
      <c r="X8" t="s">
        <v>33</v>
      </c>
      <c r="Y8">
        <v>51741</v>
      </c>
      <c r="Z8">
        <v>1</v>
      </c>
      <c r="AA8" t="s">
        <v>34</v>
      </c>
      <c r="AB8" t="s">
        <v>35</v>
      </c>
      <c r="AD8" t="s">
        <v>36</v>
      </c>
      <c r="AE8">
        <v>59.990737387552898</v>
      </c>
      <c r="AF8" t="s">
        <v>37</v>
      </c>
    </row>
    <row r="9" spans="1:32" x14ac:dyDescent="0.3">
      <c r="A9">
        <v>7</v>
      </c>
      <c r="B9">
        <v>0</v>
      </c>
      <c r="C9">
        <v>7</v>
      </c>
      <c r="D9">
        <v>-4</v>
      </c>
      <c r="E9" t="s">
        <v>38</v>
      </c>
      <c r="F9">
        <v>1</v>
      </c>
      <c r="G9">
        <v>0.235011499840766</v>
      </c>
      <c r="H9" t="s">
        <v>33</v>
      </c>
      <c r="I9">
        <v>7</v>
      </c>
      <c r="J9">
        <v>0</v>
      </c>
      <c r="K9">
        <v>7</v>
      </c>
      <c r="L9">
        <v>0</v>
      </c>
      <c r="M9">
        <v>11.294735899893499</v>
      </c>
      <c r="O9">
        <v>11.2795174999628</v>
      </c>
      <c r="P9">
        <v>11.294735899893499</v>
      </c>
      <c r="Q9">
        <v>12.2951897999737</v>
      </c>
      <c r="R9">
        <v>12.2951897999737</v>
      </c>
      <c r="S9">
        <v>12.5450464000459</v>
      </c>
      <c r="T9">
        <v>-4</v>
      </c>
      <c r="U9" t="s">
        <v>38</v>
      </c>
      <c r="V9">
        <v>1</v>
      </c>
      <c r="W9">
        <v>0.235011499840766</v>
      </c>
      <c r="X9" t="s">
        <v>33</v>
      </c>
      <c r="Y9">
        <v>51741</v>
      </c>
      <c r="Z9">
        <v>1</v>
      </c>
      <c r="AA9" t="s">
        <v>34</v>
      </c>
      <c r="AB9" t="s">
        <v>35</v>
      </c>
      <c r="AD9" t="s">
        <v>36</v>
      </c>
      <c r="AE9">
        <v>59.990737387552898</v>
      </c>
      <c r="AF9" t="s">
        <v>37</v>
      </c>
    </row>
    <row r="10" spans="1:32" x14ac:dyDescent="0.3">
      <c r="A10">
        <v>8</v>
      </c>
      <c r="B10">
        <v>0</v>
      </c>
      <c r="C10">
        <v>8</v>
      </c>
      <c r="D10">
        <v>-4</v>
      </c>
      <c r="E10" t="s">
        <v>38</v>
      </c>
      <c r="F10">
        <v>1</v>
      </c>
      <c r="G10">
        <v>0.45429869997315098</v>
      </c>
      <c r="H10" t="s">
        <v>33</v>
      </c>
      <c r="I10">
        <v>8</v>
      </c>
      <c r="J10">
        <v>0</v>
      </c>
      <c r="K10">
        <v>8</v>
      </c>
      <c r="L10">
        <v>0</v>
      </c>
      <c r="M10">
        <v>12.5611244998872</v>
      </c>
      <c r="O10">
        <v>12.545397599926201</v>
      </c>
      <c r="P10">
        <v>12.5611244998872</v>
      </c>
      <c r="Q10">
        <v>13.561239500064399</v>
      </c>
      <c r="R10">
        <v>13.544545100070501</v>
      </c>
      <c r="S10">
        <v>14.0132504000794</v>
      </c>
      <c r="T10">
        <v>-4</v>
      </c>
      <c r="U10" t="s">
        <v>38</v>
      </c>
      <c r="V10">
        <v>1</v>
      </c>
      <c r="W10">
        <v>0.45429869997315098</v>
      </c>
      <c r="X10" t="s">
        <v>33</v>
      </c>
      <c r="Y10">
        <v>51741</v>
      </c>
      <c r="Z10">
        <v>1</v>
      </c>
      <c r="AA10" t="s">
        <v>34</v>
      </c>
      <c r="AB10" t="s">
        <v>35</v>
      </c>
      <c r="AD10" t="s">
        <v>36</v>
      </c>
      <c r="AE10">
        <v>59.990737387552898</v>
      </c>
      <c r="AF10" t="s">
        <v>37</v>
      </c>
    </row>
    <row r="11" spans="1:32" x14ac:dyDescent="0.3">
      <c r="A11">
        <v>9</v>
      </c>
      <c r="B11">
        <v>0</v>
      </c>
      <c r="C11">
        <v>9</v>
      </c>
      <c r="D11">
        <v>0</v>
      </c>
      <c r="E11" t="s">
        <v>38</v>
      </c>
      <c r="F11">
        <v>0</v>
      </c>
      <c r="G11">
        <v>0.39131769980303899</v>
      </c>
      <c r="H11" t="s">
        <v>33</v>
      </c>
      <c r="I11">
        <v>9</v>
      </c>
      <c r="J11">
        <v>0</v>
      </c>
      <c r="K11">
        <v>9</v>
      </c>
      <c r="L11">
        <v>0</v>
      </c>
      <c r="M11">
        <v>14.028644700068901</v>
      </c>
      <c r="O11">
        <v>14.013793200021601</v>
      </c>
      <c r="P11">
        <v>14.028644700068901</v>
      </c>
      <c r="Q11">
        <v>15.0284716999158</v>
      </c>
      <c r="R11">
        <v>15.0284716999158</v>
      </c>
      <c r="S11">
        <v>15.4292490999214</v>
      </c>
      <c r="T11">
        <v>0</v>
      </c>
      <c r="U11" t="s">
        <v>38</v>
      </c>
      <c r="V11">
        <v>0</v>
      </c>
      <c r="W11">
        <v>0.39131769980303899</v>
      </c>
      <c r="X11" t="s">
        <v>33</v>
      </c>
      <c r="Y11">
        <v>51741</v>
      </c>
      <c r="Z11">
        <v>1</v>
      </c>
      <c r="AA11" t="s">
        <v>34</v>
      </c>
      <c r="AB11" t="s">
        <v>35</v>
      </c>
      <c r="AD11" t="s">
        <v>36</v>
      </c>
      <c r="AE11">
        <v>59.990737387552898</v>
      </c>
      <c r="AF11" t="s">
        <v>37</v>
      </c>
    </row>
    <row r="12" spans="1:32" x14ac:dyDescent="0.3">
      <c r="A12">
        <v>10</v>
      </c>
      <c r="B12">
        <v>0</v>
      </c>
      <c r="C12">
        <v>10</v>
      </c>
      <c r="D12">
        <v>-3</v>
      </c>
      <c r="E12" t="s">
        <v>38</v>
      </c>
      <c r="F12">
        <v>1</v>
      </c>
      <c r="G12">
        <v>0.53951340005732995</v>
      </c>
      <c r="H12" t="s">
        <v>33</v>
      </c>
      <c r="I12">
        <v>10</v>
      </c>
      <c r="J12">
        <v>0</v>
      </c>
      <c r="K12">
        <v>10</v>
      </c>
      <c r="L12">
        <v>0</v>
      </c>
      <c r="M12">
        <v>15.4447230999358</v>
      </c>
      <c r="O12">
        <v>15.430051600094799</v>
      </c>
      <c r="P12">
        <v>15.4447230999358</v>
      </c>
      <c r="Q12">
        <v>16.445018700091101</v>
      </c>
      <c r="R12">
        <v>16.445018700091101</v>
      </c>
      <c r="S12">
        <v>16.996236300095902</v>
      </c>
      <c r="T12">
        <v>-3</v>
      </c>
      <c r="U12" t="s">
        <v>38</v>
      </c>
      <c r="V12">
        <v>1</v>
      </c>
      <c r="W12">
        <v>0.53951340005732995</v>
      </c>
      <c r="X12" t="s">
        <v>33</v>
      </c>
      <c r="Y12">
        <v>51741</v>
      </c>
      <c r="Z12">
        <v>1</v>
      </c>
      <c r="AA12" t="s">
        <v>34</v>
      </c>
      <c r="AB12" t="s">
        <v>35</v>
      </c>
      <c r="AD12" t="s">
        <v>36</v>
      </c>
      <c r="AE12">
        <v>59.990737387552898</v>
      </c>
      <c r="AF12" t="s">
        <v>37</v>
      </c>
    </row>
    <row r="13" spans="1:32" x14ac:dyDescent="0.3">
      <c r="A13">
        <v>11</v>
      </c>
      <c r="B13">
        <v>0</v>
      </c>
      <c r="C13">
        <v>11</v>
      </c>
      <c r="D13">
        <v>3</v>
      </c>
      <c r="E13" t="s">
        <v>32</v>
      </c>
      <c r="F13">
        <v>0</v>
      </c>
      <c r="G13">
        <v>0.449499600101262</v>
      </c>
      <c r="H13" t="s">
        <v>33</v>
      </c>
      <c r="I13">
        <v>11</v>
      </c>
      <c r="J13">
        <v>0</v>
      </c>
      <c r="K13">
        <v>11</v>
      </c>
      <c r="L13">
        <v>0</v>
      </c>
      <c r="M13">
        <v>17.011352200061001</v>
      </c>
      <c r="O13">
        <v>16.997018799884199</v>
      </c>
      <c r="P13">
        <v>17.011352200061001</v>
      </c>
      <c r="Q13">
        <v>18.011274900054499</v>
      </c>
      <c r="R13">
        <v>18.011274900054499</v>
      </c>
      <c r="S13">
        <v>18.461539899930301</v>
      </c>
      <c r="T13">
        <v>3</v>
      </c>
      <c r="U13" t="s">
        <v>32</v>
      </c>
      <c r="V13">
        <v>0</v>
      </c>
      <c r="W13">
        <v>0.449499600101262</v>
      </c>
      <c r="X13" t="s">
        <v>33</v>
      </c>
      <c r="Y13">
        <v>51741</v>
      </c>
      <c r="Z13">
        <v>1</v>
      </c>
      <c r="AA13" t="s">
        <v>34</v>
      </c>
      <c r="AB13" t="s">
        <v>35</v>
      </c>
      <c r="AD13" t="s">
        <v>36</v>
      </c>
      <c r="AE13">
        <v>59.990737387552898</v>
      </c>
      <c r="AF13" t="s">
        <v>37</v>
      </c>
    </row>
    <row r="14" spans="1:32" x14ac:dyDescent="0.3">
      <c r="A14">
        <v>12</v>
      </c>
      <c r="B14">
        <v>0</v>
      </c>
      <c r="C14">
        <v>12</v>
      </c>
      <c r="D14">
        <v>3</v>
      </c>
      <c r="E14" t="s">
        <v>38</v>
      </c>
      <c r="F14">
        <v>1</v>
      </c>
      <c r="G14">
        <v>0.44616799987852501</v>
      </c>
      <c r="H14" t="s">
        <v>33</v>
      </c>
      <c r="I14">
        <v>12</v>
      </c>
      <c r="J14">
        <v>0</v>
      </c>
      <c r="K14">
        <v>12</v>
      </c>
      <c r="L14">
        <v>0</v>
      </c>
      <c r="M14">
        <v>18.4774603999685</v>
      </c>
      <c r="O14">
        <v>18.462064400082401</v>
      </c>
      <c r="P14">
        <v>18.4774603999685</v>
      </c>
      <c r="Q14">
        <v>19.477836400037599</v>
      </c>
      <c r="R14">
        <v>19.461589399958001</v>
      </c>
      <c r="S14">
        <v>19.912415100028699</v>
      </c>
      <c r="T14">
        <v>3</v>
      </c>
      <c r="U14" t="s">
        <v>38</v>
      </c>
      <c r="V14">
        <v>1</v>
      </c>
      <c r="W14">
        <v>0.44616799987852501</v>
      </c>
      <c r="X14" t="s">
        <v>33</v>
      </c>
      <c r="Y14">
        <v>51741</v>
      </c>
      <c r="Z14">
        <v>1</v>
      </c>
      <c r="AA14" t="s">
        <v>34</v>
      </c>
      <c r="AB14" t="s">
        <v>35</v>
      </c>
      <c r="AD14" t="s">
        <v>36</v>
      </c>
      <c r="AE14">
        <v>59.990737387552898</v>
      </c>
      <c r="AF14" t="s">
        <v>37</v>
      </c>
    </row>
    <row r="15" spans="1:32" x14ac:dyDescent="0.3">
      <c r="A15">
        <v>13</v>
      </c>
      <c r="B15">
        <v>0</v>
      </c>
      <c r="C15">
        <v>13</v>
      </c>
      <c r="D15">
        <v>-2</v>
      </c>
      <c r="E15" t="s">
        <v>38</v>
      </c>
      <c r="F15">
        <v>1</v>
      </c>
      <c r="G15">
        <v>0.62489600013941504</v>
      </c>
      <c r="H15" t="s">
        <v>33</v>
      </c>
      <c r="I15">
        <v>13</v>
      </c>
      <c r="J15">
        <v>0</v>
      </c>
      <c r="K15">
        <v>13</v>
      </c>
      <c r="L15">
        <v>0</v>
      </c>
      <c r="M15">
        <v>19.928105799946898</v>
      </c>
      <c r="O15">
        <v>19.913035300094599</v>
      </c>
      <c r="P15">
        <v>19.928105799946898</v>
      </c>
      <c r="Q15">
        <v>20.9283129000104</v>
      </c>
      <c r="R15">
        <v>20.9117016000673</v>
      </c>
      <c r="S15">
        <v>21.5456254999153</v>
      </c>
      <c r="T15">
        <v>-2</v>
      </c>
      <c r="U15" t="s">
        <v>38</v>
      </c>
      <c r="V15">
        <v>1</v>
      </c>
      <c r="W15">
        <v>0.62489600013941504</v>
      </c>
      <c r="X15" t="s">
        <v>33</v>
      </c>
      <c r="Y15">
        <v>51741</v>
      </c>
      <c r="Z15">
        <v>1</v>
      </c>
      <c r="AA15" t="s">
        <v>34</v>
      </c>
      <c r="AB15" t="s">
        <v>35</v>
      </c>
      <c r="AD15" t="s">
        <v>36</v>
      </c>
      <c r="AE15">
        <v>59.990737387552898</v>
      </c>
      <c r="AF15" t="s">
        <v>37</v>
      </c>
    </row>
    <row r="16" spans="1:32" x14ac:dyDescent="0.3">
      <c r="A16">
        <v>14</v>
      </c>
      <c r="B16">
        <v>0</v>
      </c>
      <c r="C16">
        <v>14</v>
      </c>
      <c r="D16">
        <v>-5</v>
      </c>
      <c r="E16" t="s">
        <v>32</v>
      </c>
      <c r="F16">
        <v>0</v>
      </c>
      <c r="G16">
        <v>0.39894349989481198</v>
      </c>
      <c r="H16" t="s">
        <v>33</v>
      </c>
      <c r="I16">
        <v>14</v>
      </c>
      <c r="J16">
        <v>0</v>
      </c>
      <c r="K16">
        <v>14</v>
      </c>
      <c r="L16">
        <v>0</v>
      </c>
      <c r="M16">
        <v>21.561365500092499</v>
      </c>
      <c r="O16">
        <v>21.546176200034001</v>
      </c>
      <c r="P16">
        <v>21.561365500092499</v>
      </c>
      <c r="Q16">
        <v>22.561382299987599</v>
      </c>
      <c r="R16">
        <v>22.545061700045999</v>
      </c>
      <c r="S16">
        <v>22.94558160007</v>
      </c>
      <c r="T16">
        <v>-5</v>
      </c>
      <c r="U16" t="s">
        <v>32</v>
      </c>
      <c r="V16">
        <v>0</v>
      </c>
      <c r="W16">
        <v>0.39894349989481198</v>
      </c>
      <c r="X16" t="s">
        <v>33</v>
      </c>
      <c r="Y16">
        <v>51741</v>
      </c>
      <c r="Z16">
        <v>1</v>
      </c>
      <c r="AA16" t="s">
        <v>34</v>
      </c>
      <c r="AB16" t="s">
        <v>35</v>
      </c>
      <c r="AD16" t="s">
        <v>36</v>
      </c>
      <c r="AE16">
        <v>59.990737387552898</v>
      </c>
      <c r="AF16" t="s">
        <v>37</v>
      </c>
    </row>
    <row r="17" spans="1:32" x14ac:dyDescent="0.3">
      <c r="A17">
        <v>15</v>
      </c>
      <c r="B17">
        <v>0</v>
      </c>
      <c r="C17">
        <v>15</v>
      </c>
      <c r="D17">
        <v>0</v>
      </c>
      <c r="E17" t="s">
        <v>38</v>
      </c>
      <c r="F17">
        <v>0</v>
      </c>
      <c r="G17">
        <v>0.85123750008642596</v>
      </c>
      <c r="H17" t="s">
        <v>33</v>
      </c>
      <c r="I17">
        <v>15</v>
      </c>
      <c r="J17">
        <v>0</v>
      </c>
      <c r="K17">
        <v>15</v>
      </c>
      <c r="L17">
        <v>0</v>
      </c>
      <c r="M17">
        <v>22.9615430000703</v>
      </c>
      <c r="O17">
        <v>22.946135000092902</v>
      </c>
      <c r="P17">
        <v>22.9615430000703</v>
      </c>
      <c r="Q17">
        <v>23.9617427999619</v>
      </c>
      <c r="R17">
        <v>23.9617427999619</v>
      </c>
      <c r="S17">
        <v>24.829281300073401</v>
      </c>
      <c r="T17">
        <v>0</v>
      </c>
      <c r="U17" t="s">
        <v>38</v>
      </c>
      <c r="V17">
        <v>0</v>
      </c>
      <c r="W17">
        <v>0.85123750008642596</v>
      </c>
      <c r="X17" t="s">
        <v>33</v>
      </c>
      <c r="Y17">
        <v>51741</v>
      </c>
      <c r="Z17">
        <v>1</v>
      </c>
      <c r="AA17" t="s">
        <v>34</v>
      </c>
      <c r="AB17" t="s">
        <v>35</v>
      </c>
      <c r="AD17" t="s">
        <v>36</v>
      </c>
      <c r="AE17">
        <v>59.990737387552898</v>
      </c>
      <c r="AF17" t="s">
        <v>37</v>
      </c>
    </row>
    <row r="18" spans="1:32" x14ac:dyDescent="0.3">
      <c r="A18">
        <v>16</v>
      </c>
      <c r="B18">
        <v>0</v>
      </c>
      <c r="C18">
        <v>16</v>
      </c>
      <c r="D18">
        <v>-3</v>
      </c>
      <c r="E18" t="s">
        <v>38</v>
      </c>
      <c r="F18">
        <v>1</v>
      </c>
      <c r="G18">
        <v>0.67768110008910298</v>
      </c>
      <c r="H18" t="s">
        <v>33</v>
      </c>
      <c r="I18">
        <v>16</v>
      </c>
      <c r="J18">
        <v>0</v>
      </c>
      <c r="K18">
        <v>16</v>
      </c>
      <c r="L18">
        <v>0</v>
      </c>
      <c r="M18">
        <v>24.844477500067999</v>
      </c>
      <c r="O18">
        <v>24.830057400045899</v>
      </c>
      <c r="P18">
        <v>24.844477500067999</v>
      </c>
      <c r="Q18">
        <v>25.8450170001015</v>
      </c>
      <c r="R18">
        <v>25.8450170001015</v>
      </c>
      <c r="S18">
        <v>26.5292664999142</v>
      </c>
      <c r="T18">
        <v>-3</v>
      </c>
      <c r="U18" t="s">
        <v>38</v>
      </c>
      <c r="V18">
        <v>1</v>
      </c>
      <c r="W18">
        <v>0.67768110008910298</v>
      </c>
      <c r="X18" t="s">
        <v>33</v>
      </c>
      <c r="Y18">
        <v>51741</v>
      </c>
      <c r="Z18">
        <v>1</v>
      </c>
      <c r="AA18" t="s">
        <v>34</v>
      </c>
      <c r="AB18" t="s">
        <v>35</v>
      </c>
      <c r="AD18" t="s">
        <v>36</v>
      </c>
      <c r="AE18">
        <v>59.990737387552898</v>
      </c>
      <c r="AF18" t="s">
        <v>37</v>
      </c>
    </row>
    <row r="19" spans="1:32" x14ac:dyDescent="0.3">
      <c r="A19">
        <v>17</v>
      </c>
      <c r="B19">
        <v>0</v>
      </c>
      <c r="C19">
        <v>17</v>
      </c>
      <c r="D19">
        <v>0</v>
      </c>
      <c r="E19" t="s">
        <v>32</v>
      </c>
      <c r="F19">
        <v>1</v>
      </c>
      <c r="G19">
        <v>0.44547170004807402</v>
      </c>
      <c r="H19" t="s">
        <v>33</v>
      </c>
      <c r="I19">
        <v>17</v>
      </c>
      <c r="J19">
        <v>0</v>
      </c>
      <c r="K19">
        <v>17</v>
      </c>
      <c r="L19">
        <v>0</v>
      </c>
      <c r="M19">
        <v>26.544466000050299</v>
      </c>
      <c r="O19">
        <v>26.530105199897601</v>
      </c>
      <c r="P19">
        <v>26.544466000050299</v>
      </c>
      <c r="Q19">
        <v>27.5449242999311</v>
      </c>
      <c r="R19">
        <v>27.5449242999311</v>
      </c>
      <c r="S19">
        <v>27.996157099958499</v>
      </c>
      <c r="T19">
        <v>0</v>
      </c>
      <c r="U19" t="s">
        <v>32</v>
      </c>
      <c r="V19">
        <v>1</v>
      </c>
      <c r="W19">
        <v>0.44547170004807402</v>
      </c>
      <c r="X19" t="s">
        <v>33</v>
      </c>
      <c r="Y19">
        <v>51741</v>
      </c>
      <c r="Z19">
        <v>1</v>
      </c>
      <c r="AA19" t="s">
        <v>34</v>
      </c>
      <c r="AB19" t="s">
        <v>35</v>
      </c>
      <c r="AD19" t="s">
        <v>36</v>
      </c>
      <c r="AE19">
        <v>59.990737387552898</v>
      </c>
      <c r="AF19" t="s">
        <v>37</v>
      </c>
    </row>
    <row r="20" spans="1:32" x14ac:dyDescent="0.3">
      <c r="A20">
        <v>18</v>
      </c>
      <c r="B20">
        <v>0</v>
      </c>
      <c r="C20">
        <v>18</v>
      </c>
      <c r="D20">
        <v>0</v>
      </c>
      <c r="E20" t="s">
        <v>32</v>
      </c>
      <c r="F20">
        <v>1</v>
      </c>
      <c r="G20">
        <v>0.65126079996116404</v>
      </c>
      <c r="H20" t="s">
        <v>33</v>
      </c>
      <c r="I20">
        <v>18</v>
      </c>
      <c r="J20">
        <v>0</v>
      </c>
      <c r="K20">
        <v>18</v>
      </c>
      <c r="L20">
        <v>0</v>
      </c>
      <c r="M20">
        <v>28.011237199883901</v>
      </c>
      <c r="O20">
        <v>27.9970213000196</v>
      </c>
      <c r="P20">
        <v>28.011237199883901</v>
      </c>
      <c r="Q20">
        <v>29.011576900025801</v>
      </c>
      <c r="R20">
        <v>29.011576900025801</v>
      </c>
      <c r="S20">
        <v>29.679095800034698</v>
      </c>
      <c r="T20">
        <v>0</v>
      </c>
      <c r="U20" t="s">
        <v>32</v>
      </c>
      <c r="V20">
        <v>1</v>
      </c>
      <c r="W20">
        <v>0.65126079996116404</v>
      </c>
      <c r="X20" t="s">
        <v>33</v>
      </c>
      <c r="Y20">
        <v>51741</v>
      </c>
      <c r="Z20">
        <v>1</v>
      </c>
      <c r="AA20" t="s">
        <v>34</v>
      </c>
      <c r="AB20" t="s">
        <v>35</v>
      </c>
      <c r="AD20" t="s">
        <v>36</v>
      </c>
      <c r="AE20">
        <v>59.990737387552898</v>
      </c>
      <c r="AF20" t="s">
        <v>37</v>
      </c>
    </row>
    <row r="21" spans="1:32" x14ac:dyDescent="0.3">
      <c r="A21">
        <v>19</v>
      </c>
      <c r="B21">
        <v>0</v>
      </c>
      <c r="C21">
        <v>19</v>
      </c>
      <c r="D21">
        <v>-4</v>
      </c>
      <c r="E21" t="s">
        <v>32</v>
      </c>
      <c r="F21">
        <v>0</v>
      </c>
      <c r="G21">
        <v>0.597487400053069</v>
      </c>
      <c r="H21" t="s">
        <v>33</v>
      </c>
      <c r="I21">
        <v>19</v>
      </c>
      <c r="J21">
        <v>0</v>
      </c>
      <c r="K21">
        <v>19</v>
      </c>
      <c r="L21">
        <v>0</v>
      </c>
      <c r="M21">
        <v>29.694251500069999</v>
      </c>
      <c r="O21">
        <v>29.679709600051801</v>
      </c>
      <c r="P21">
        <v>29.694251500069999</v>
      </c>
      <c r="Q21">
        <v>30.694607600104</v>
      </c>
      <c r="R21">
        <v>30.694607600104</v>
      </c>
      <c r="S21">
        <v>31.294804299948701</v>
      </c>
      <c r="T21">
        <v>-4</v>
      </c>
      <c r="U21" t="s">
        <v>32</v>
      </c>
      <c r="V21">
        <v>0</v>
      </c>
      <c r="W21">
        <v>0.597487400053069</v>
      </c>
      <c r="X21" t="s">
        <v>33</v>
      </c>
      <c r="Y21">
        <v>51741</v>
      </c>
      <c r="Z21">
        <v>1</v>
      </c>
      <c r="AA21" t="s">
        <v>34</v>
      </c>
      <c r="AB21" t="s">
        <v>35</v>
      </c>
      <c r="AD21" t="s">
        <v>36</v>
      </c>
      <c r="AE21">
        <v>59.990737387552898</v>
      </c>
      <c r="AF21" t="s">
        <v>37</v>
      </c>
    </row>
    <row r="22" spans="1:32" x14ac:dyDescent="0.3">
      <c r="A22">
        <v>20</v>
      </c>
      <c r="B22">
        <v>0</v>
      </c>
      <c r="C22">
        <v>20</v>
      </c>
      <c r="D22">
        <v>4</v>
      </c>
      <c r="E22" t="s">
        <v>38</v>
      </c>
      <c r="F22">
        <v>1</v>
      </c>
      <c r="G22">
        <v>1.91607030015438</v>
      </c>
      <c r="H22" t="s">
        <v>33</v>
      </c>
      <c r="I22">
        <v>20</v>
      </c>
      <c r="J22">
        <v>0</v>
      </c>
      <c r="K22">
        <v>20</v>
      </c>
      <c r="L22">
        <v>0</v>
      </c>
      <c r="M22">
        <v>31.310702299932</v>
      </c>
      <c r="O22">
        <v>31.29527579993</v>
      </c>
      <c r="P22">
        <v>31.310702299932</v>
      </c>
      <c r="Q22">
        <v>32.310737499967203</v>
      </c>
      <c r="R22">
        <v>32.310737499967203</v>
      </c>
      <c r="S22">
        <v>34.227800499880601</v>
      </c>
      <c r="T22">
        <v>4</v>
      </c>
      <c r="U22" t="s">
        <v>38</v>
      </c>
      <c r="V22">
        <v>1</v>
      </c>
      <c r="W22">
        <v>1.91607030015438</v>
      </c>
      <c r="X22" t="s">
        <v>33</v>
      </c>
      <c r="Y22">
        <v>51741</v>
      </c>
      <c r="Z22">
        <v>1</v>
      </c>
      <c r="AA22" t="s">
        <v>34</v>
      </c>
      <c r="AB22" t="s">
        <v>35</v>
      </c>
      <c r="AD22" t="s">
        <v>36</v>
      </c>
      <c r="AE22">
        <v>59.990737387552898</v>
      </c>
      <c r="AF22" t="s">
        <v>37</v>
      </c>
    </row>
    <row r="23" spans="1:32" x14ac:dyDescent="0.3">
      <c r="A23">
        <v>21</v>
      </c>
      <c r="B23">
        <v>0</v>
      </c>
      <c r="C23">
        <v>21</v>
      </c>
      <c r="D23">
        <v>0</v>
      </c>
      <c r="E23" t="s">
        <v>32</v>
      </c>
      <c r="F23">
        <v>1</v>
      </c>
      <c r="G23">
        <v>0.81242570001631897</v>
      </c>
      <c r="H23" t="s">
        <v>33</v>
      </c>
      <c r="I23">
        <v>21</v>
      </c>
      <c r="J23">
        <v>0</v>
      </c>
      <c r="K23">
        <v>21</v>
      </c>
      <c r="L23">
        <v>0</v>
      </c>
      <c r="M23">
        <v>34.244010400027001</v>
      </c>
      <c r="O23">
        <v>34.2282386999577</v>
      </c>
      <c r="P23">
        <v>34.244010400027001</v>
      </c>
      <c r="Q23">
        <v>35.244134699925702</v>
      </c>
      <c r="R23">
        <v>35.227257099933901</v>
      </c>
      <c r="S23">
        <v>36.044538700021803</v>
      </c>
      <c r="T23">
        <v>0</v>
      </c>
      <c r="U23" t="s">
        <v>32</v>
      </c>
      <c r="V23">
        <v>1</v>
      </c>
      <c r="W23">
        <v>0.81242570001631897</v>
      </c>
      <c r="X23" t="s">
        <v>33</v>
      </c>
      <c r="Y23">
        <v>51741</v>
      </c>
      <c r="Z23">
        <v>1</v>
      </c>
      <c r="AA23" t="s">
        <v>34</v>
      </c>
      <c r="AB23" t="s">
        <v>35</v>
      </c>
      <c r="AD23" t="s">
        <v>36</v>
      </c>
      <c r="AE23">
        <v>59.990737387552898</v>
      </c>
      <c r="AF23" t="s">
        <v>37</v>
      </c>
    </row>
    <row r="24" spans="1:32" x14ac:dyDescent="0.3">
      <c r="A24">
        <v>22</v>
      </c>
      <c r="B24">
        <v>0</v>
      </c>
      <c r="C24">
        <v>22</v>
      </c>
      <c r="D24">
        <v>3</v>
      </c>
      <c r="E24" t="s">
        <v>38</v>
      </c>
      <c r="F24">
        <v>1</v>
      </c>
      <c r="G24">
        <v>0.41092310007661498</v>
      </c>
      <c r="H24" t="s">
        <v>33</v>
      </c>
      <c r="I24">
        <v>22</v>
      </c>
      <c r="J24">
        <v>0</v>
      </c>
      <c r="K24">
        <v>22</v>
      </c>
      <c r="L24">
        <v>0</v>
      </c>
      <c r="M24">
        <v>36.060514299897399</v>
      </c>
      <c r="O24">
        <v>36.044914300087797</v>
      </c>
      <c r="P24">
        <v>36.060514299897399</v>
      </c>
      <c r="Q24">
        <v>37.060695100110003</v>
      </c>
      <c r="R24">
        <v>37.043998199980699</v>
      </c>
      <c r="S24">
        <v>37.461145400069597</v>
      </c>
      <c r="T24">
        <v>3</v>
      </c>
      <c r="U24" t="s">
        <v>38</v>
      </c>
      <c r="V24">
        <v>1</v>
      </c>
      <c r="W24">
        <v>0.41092310007661498</v>
      </c>
      <c r="X24" t="s">
        <v>33</v>
      </c>
      <c r="Y24">
        <v>51741</v>
      </c>
      <c r="Z24">
        <v>1</v>
      </c>
      <c r="AA24" t="s">
        <v>34</v>
      </c>
      <c r="AB24" t="s">
        <v>35</v>
      </c>
      <c r="AD24" t="s">
        <v>36</v>
      </c>
      <c r="AE24">
        <v>59.990737387552898</v>
      </c>
      <c r="AF24" t="s">
        <v>37</v>
      </c>
    </row>
    <row r="25" spans="1:32" x14ac:dyDescent="0.3">
      <c r="A25">
        <v>23</v>
      </c>
      <c r="B25">
        <v>0</v>
      </c>
      <c r="C25">
        <v>23</v>
      </c>
      <c r="D25">
        <v>-2</v>
      </c>
      <c r="E25" t="s">
        <v>38</v>
      </c>
      <c r="F25">
        <v>1</v>
      </c>
      <c r="G25">
        <v>0.81372380000539102</v>
      </c>
      <c r="H25" t="s">
        <v>33</v>
      </c>
      <c r="I25">
        <v>23</v>
      </c>
      <c r="J25">
        <v>0</v>
      </c>
      <c r="K25">
        <v>23</v>
      </c>
      <c r="L25">
        <v>0</v>
      </c>
      <c r="M25">
        <v>37.477144999895202</v>
      </c>
      <c r="O25">
        <v>37.461455800104801</v>
      </c>
      <c r="P25">
        <v>37.477144999895202</v>
      </c>
      <c r="Q25">
        <v>38.477212799945796</v>
      </c>
      <c r="R25">
        <v>38.460676799993898</v>
      </c>
      <c r="S25">
        <v>39.277871599886502</v>
      </c>
      <c r="T25">
        <v>-2</v>
      </c>
      <c r="U25" t="s">
        <v>38</v>
      </c>
      <c r="V25">
        <v>1</v>
      </c>
      <c r="W25">
        <v>0.81372380000539102</v>
      </c>
      <c r="X25" t="s">
        <v>33</v>
      </c>
      <c r="Y25">
        <v>51741</v>
      </c>
      <c r="Z25">
        <v>1</v>
      </c>
      <c r="AA25" t="s">
        <v>34</v>
      </c>
      <c r="AB25" t="s">
        <v>35</v>
      </c>
      <c r="AD25" t="s">
        <v>36</v>
      </c>
      <c r="AE25">
        <v>59.990737387552898</v>
      </c>
      <c r="AF25" t="s">
        <v>37</v>
      </c>
    </row>
    <row r="26" spans="1:32" x14ac:dyDescent="0.3">
      <c r="A26">
        <v>24</v>
      </c>
      <c r="B26">
        <v>0</v>
      </c>
      <c r="C26">
        <v>24</v>
      </c>
      <c r="D26">
        <v>0</v>
      </c>
      <c r="E26" t="s">
        <v>32</v>
      </c>
      <c r="F26">
        <v>1</v>
      </c>
      <c r="G26">
        <v>0.68252300005406097</v>
      </c>
      <c r="H26" t="s">
        <v>33</v>
      </c>
      <c r="I26">
        <v>24</v>
      </c>
      <c r="J26">
        <v>0</v>
      </c>
      <c r="K26">
        <v>24</v>
      </c>
      <c r="L26">
        <v>0</v>
      </c>
      <c r="M26">
        <v>39.293872199952602</v>
      </c>
      <c r="O26">
        <v>39.2783154000062</v>
      </c>
      <c r="P26">
        <v>39.293872199952602</v>
      </c>
      <c r="Q26">
        <v>40.294007099932003</v>
      </c>
      <c r="R26">
        <v>40.277257499983499</v>
      </c>
      <c r="S26">
        <v>40.961348599987097</v>
      </c>
      <c r="T26">
        <v>0</v>
      </c>
      <c r="U26" t="s">
        <v>32</v>
      </c>
      <c r="V26">
        <v>1</v>
      </c>
      <c r="W26">
        <v>0.68252300005406097</v>
      </c>
      <c r="X26" t="s">
        <v>33</v>
      </c>
      <c r="Y26">
        <v>51741</v>
      </c>
      <c r="Z26">
        <v>1</v>
      </c>
      <c r="AA26" t="s">
        <v>34</v>
      </c>
      <c r="AB26" t="s">
        <v>35</v>
      </c>
      <c r="AD26" t="s">
        <v>36</v>
      </c>
      <c r="AE26">
        <v>59.990737387552898</v>
      </c>
      <c r="AF26" t="s">
        <v>37</v>
      </c>
    </row>
    <row r="27" spans="1:32" x14ac:dyDescent="0.3">
      <c r="A27">
        <v>25</v>
      </c>
      <c r="B27">
        <v>0</v>
      </c>
      <c r="C27">
        <v>25</v>
      </c>
      <c r="D27">
        <v>3</v>
      </c>
      <c r="E27" t="s">
        <v>38</v>
      </c>
      <c r="F27">
        <v>1</v>
      </c>
      <c r="G27">
        <v>0.62347520003095203</v>
      </c>
      <c r="H27" t="s">
        <v>33</v>
      </c>
      <c r="I27">
        <v>25</v>
      </c>
      <c r="J27">
        <v>0</v>
      </c>
      <c r="K27">
        <v>25</v>
      </c>
      <c r="L27">
        <v>0</v>
      </c>
      <c r="M27">
        <v>40.977093399967998</v>
      </c>
      <c r="O27">
        <v>40.961750600021297</v>
      </c>
      <c r="P27">
        <v>40.977093399967998</v>
      </c>
      <c r="Q27">
        <v>41.9771430999971</v>
      </c>
      <c r="R27">
        <v>41.9771430999971</v>
      </c>
      <c r="S27">
        <v>42.611759300110798</v>
      </c>
      <c r="T27">
        <v>3</v>
      </c>
      <c r="U27" t="s">
        <v>38</v>
      </c>
      <c r="V27">
        <v>1</v>
      </c>
      <c r="W27">
        <v>0.62347520003095203</v>
      </c>
      <c r="X27" t="s">
        <v>33</v>
      </c>
      <c r="Y27">
        <v>51741</v>
      </c>
      <c r="Z27">
        <v>1</v>
      </c>
      <c r="AA27" t="s">
        <v>34</v>
      </c>
      <c r="AB27" t="s">
        <v>35</v>
      </c>
      <c r="AD27" t="s">
        <v>36</v>
      </c>
      <c r="AE27">
        <v>59.990737387552898</v>
      </c>
      <c r="AF27" t="s">
        <v>37</v>
      </c>
    </row>
    <row r="28" spans="1:32" x14ac:dyDescent="0.3">
      <c r="A28">
        <v>26</v>
      </c>
      <c r="B28">
        <v>0</v>
      </c>
      <c r="C28">
        <v>26</v>
      </c>
      <c r="D28">
        <v>-5</v>
      </c>
      <c r="E28" t="s">
        <v>38</v>
      </c>
      <c r="F28">
        <v>1</v>
      </c>
      <c r="G28">
        <v>0.69989600009284902</v>
      </c>
      <c r="H28" t="s">
        <v>33</v>
      </c>
      <c r="I28">
        <v>26</v>
      </c>
      <c r="J28">
        <v>0</v>
      </c>
      <c r="K28">
        <v>26</v>
      </c>
      <c r="L28">
        <v>0</v>
      </c>
      <c r="M28">
        <v>42.627028299961196</v>
      </c>
      <c r="O28">
        <v>42.612051199888803</v>
      </c>
      <c r="P28">
        <v>42.627028299961196</v>
      </c>
      <c r="Q28">
        <v>43.627200199989602</v>
      </c>
      <c r="R28">
        <v>43.627200199989602</v>
      </c>
      <c r="S28">
        <v>44.327909599989603</v>
      </c>
      <c r="T28">
        <v>-5</v>
      </c>
      <c r="U28" t="s">
        <v>38</v>
      </c>
      <c r="V28">
        <v>1</v>
      </c>
      <c r="W28">
        <v>0.69989600009284902</v>
      </c>
      <c r="X28" t="s">
        <v>33</v>
      </c>
      <c r="Y28">
        <v>51741</v>
      </c>
      <c r="Z28">
        <v>1</v>
      </c>
      <c r="AA28" t="s">
        <v>34</v>
      </c>
      <c r="AB28" t="s">
        <v>35</v>
      </c>
      <c r="AD28" t="s">
        <v>36</v>
      </c>
      <c r="AE28">
        <v>59.990737387552898</v>
      </c>
      <c r="AF28" t="s">
        <v>37</v>
      </c>
    </row>
    <row r="29" spans="1:32" x14ac:dyDescent="0.3">
      <c r="A29">
        <v>27</v>
      </c>
      <c r="B29">
        <v>0</v>
      </c>
      <c r="C29">
        <v>27</v>
      </c>
      <c r="D29">
        <v>0</v>
      </c>
      <c r="E29" t="s">
        <v>32</v>
      </c>
      <c r="F29">
        <v>1</v>
      </c>
      <c r="G29">
        <v>0.64906239998526805</v>
      </c>
      <c r="H29" t="s">
        <v>33</v>
      </c>
      <c r="I29">
        <v>27</v>
      </c>
      <c r="J29">
        <v>0</v>
      </c>
      <c r="K29">
        <v>27</v>
      </c>
      <c r="L29">
        <v>0</v>
      </c>
      <c r="M29">
        <v>44.343725000042397</v>
      </c>
      <c r="O29">
        <v>44.328191699925803</v>
      </c>
      <c r="P29">
        <v>44.343725000042397</v>
      </c>
      <c r="Q29">
        <v>45.344024899881298</v>
      </c>
      <c r="R29">
        <v>45.327180800028103</v>
      </c>
      <c r="S29">
        <v>45.977758500026503</v>
      </c>
      <c r="T29">
        <v>0</v>
      </c>
      <c r="U29" t="s">
        <v>32</v>
      </c>
      <c r="V29">
        <v>1</v>
      </c>
      <c r="W29">
        <v>0.64906239998526805</v>
      </c>
      <c r="X29" t="s">
        <v>33</v>
      </c>
      <c r="Y29">
        <v>51741</v>
      </c>
      <c r="Z29">
        <v>1</v>
      </c>
      <c r="AA29" t="s">
        <v>34</v>
      </c>
      <c r="AB29" t="s">
        <v>35</v>
      </c>
      <c r="AD29" t="s">
        <v>36</v>
      </c>
      <c r="AE29">
        <v>59.990737387552898</v>
      </c>
      <c r="AF29" t="s">
        <v>37</v>
      </c>
    </row>
    <row r="30" spans="1:32" x14ac:dyDescent="0.3">
      <c r="A30">
        <v>28</v>
      </c>
      <c r="B30">
        <v>0</v>
      </c>
      <c r="C30">
        <v>28</v>
      </c>
      <c r="D30">
        <v>0</v>
      </c>
      <c r="E30" t="s">
        <v>32</v>
      </c>
      <c r="F30">
        <v>1</v>
      </c>
      <c r="G30">
        <v>0.76460489979945101</v>
      </c>
      <c r="H30" t="s">
        <v>33</v>
      </c>
      <c r="I30">
        <v>28</v>
      </c>
      <c r="J30">
        <v>0</v>
      </c>
      <c r="K30">
        <v>28</v>
      </c>
      <c r="L30">
        <v>0</v>
      </c>
      <c r="M30">
        <v>45.993720100028398</v>
      </c>
      <c r="O30">
        <v>45.978175499942097</v>
      </c>
      <c r="P30">
        <v>45.993720100028398</v>
      </c>
      <c r="Q30">
        <v>46.993874599924297</v>
      </c>
      <c r="R30">
        <v>46.977177399909102</v>
      </c>
      <c r="S30">
        <v>47.745121800107803</v>
      </c>
      <c r="T30">
        <v>0</v>
      </c>
      <c r="U30" t="s">
        <v>32</v>
      </c>
      <c r="V30">
        <v>1</v>
      </c>
      <c r="W30">
        <v>0.76460489979945101</v>
      </c>
      <c r="X30" t="s">
        <v>33</v>
      </c>
      <c r="Y30">
        <v>51741</v>
      </c>
      <c r="Z30">
        <v>1</v>
      </c>
      <c r="AA30" t="s">
        <v>34</v>
      </c>
      <c r="AB30" t="s">
        <v>35</v>
      </c>
      <c r="AD30" t="s">
        <v>36</v>
      </c>
      <c r="AE30">
        <v>59.990737387552898</v>
      </c>
      <c r="AF30" t="s">
        <v>37</v>
      </c>
    </row>
    <row r="31" spans="1:32" x14ac:dyDescent="0.3">
      <c r="A31">
        <v>29</v>
      </c>
      <c r="B31">
        <v>0</v>
      </c>
      <c r="C31">
        <v>29</v>
      </c>
      <c r="D31">
        <v>0</v>
      </c>
      <c r="E31" t="s">
        <v>32</v>
      </c>
      <c r="F31">
        <v>1</v>
      </c>
      <c r="G31">
        <v>0.78723890008404795</v>
      </c>
      <c r="H31" t="s">
        <v>33</v>
      </c>
      <c r="I31">
        <v>29</v>
      </c>
      <c r="J31">
        <v>0</v>
      </c>
      <c r="K31">
        <v>29</v>
      </c>
      <c r="L31">
        <v>0</v>
      </c>
      <c r="M31">
        <v>47.760389300063203</v>
      </c>
      <c r="O31">
        <v>47.745402900036403</v>
      </c>
      <c r="P31">
        <v>47.760389300063203</v>
      </c>
      <c r="Q31">
        <v>48.760973599972203</v>
      </c>
      <c r="R31">
        <v>48.760973599972203</v>
      </c>
      <c r="S31">
        <v>49.561106400098602</v>
      </c>
      <c r="T31">
        <v>0</v>
      </c>
      <c r="U31" t="s">
        <v>32</v>
      </c>
      <c r="V31">
        <v>1</v>
      </c>
      <c r="W31">
        <v>0.78723890008404795</v>
      </c>
      <c r="X31" t="s">
        <v>33</v>
      </c>
      <c r="Y31">
        <v>51741</v>
      </c>
      <c r="Z31">
        <v>1</v>
      </c>
      <c r="AA31" t="s">
        <v>34</v>
      </c>
      <c r="AB31" t="s">
        <v>35</v>
      </c>
      <c r="AD31" t="s">
        <v>36</v>
      </c>
      <c r="AE31">
        <v>59.990737387552898</v>
      </c>
      <c r="AF31" t="s">
        <v>37</v>
      </c>
    </row>
    <row r="32" spans="1:32" x14ac:dyDescent="0.3">
      <c r="A32">
        <v>30</v>
      </c>
      <c r="B32">
        <v>0</v>
      </c>
      <c r="C32">
        <v>30</v>
      </c>
      <c r="D32">
        <v>4</v>
      </c>
      <c r="E32" t="s">
        <v>38</v>
      </c>
      <c r="F32">
        <v>1</v>
      </c>
      <c r="G32">
        <v>0.71224849997088302</v>
      </c>
      <c r="H32" t="s">
        <v>33</v>
      </c>
      <c r="I32">
        <v>30</v>
      </c>
      <c r="J32">
        <v>0</v>
      </c>
      <c r="K32">
        <v>30</v>
      </c>
      <c r="L32">
        <v>0</v>
      </c>
      <c r="M32">
        <v>49.576928599970401</v>
      </c>
      <c r="O32">
        <v>49.561519399983801</v>
      </c>
      <c r="P32">
        <v>49.576928599970401</v>
      </c>
      <c r="Q32">
        <v>50.577037400100302</v>
      </c>
      <c r="R32">
        <v>50.560557200107702</v>
      </c>
      <c r="S32">
        <v>51.277514399960602</v>
      </c>
      <c r="T32">
        <v>4</v>
      </c>
      <c r="U32" t="s">
        <v>38</v>
      </c>
      <c r="V32">
        <v>1</v>
      </c>
      <c r="W32">
        <v>0.71224849997088302</v>
      </c>
      <c r="X32" t="s">
        <v>33</v>
      </c>
      <c r="Y32">
        <v>51741</v>
      </c>
      <c r="Z32">
        <v>1</v>
      </c>
      <c r="AA32" t="s">
        <v>34</v>
      </c>
      <c r="AB32" t="s">
        <v>35</v>
      </c>
      <c r="AD32" t="s">
        <v>36</v>
      </c>
      <c r="AE32">
        <v>59.990737387552898</v>
      </c>
      <c r="AF32" t="s">
        <v>37</v>
      </c>
    </row>
    <row r="33" spans="1:32" x14ac:dyDescent="0.3">
      <c r="A33">
        <v>31</v>
      </c>
      <c r="B33">
        <v>0</v>
      </c>
      <c r="C33">
        <v>31</v>
      </c>
      <c r="D33">
        <v>0</v>
      </c>
      <c r="E33" t="s">
        <v>38</v>
      </c>
      <c r="F33">
        <v>0</v>
      </c>
      <c r="G33">
        <v>5.3497917999047697</v>
      </c>
      <c r="H33" t="s">
        <v>33</v>
      </c>
      <c r="I33">
        <v>31</v>
      </c>
      <c r="J33">
        <v>0</v>
      </c>
      <c r="K33">
        <v>31</v>
      </c>
      <c r="L33">
        <v>0</v>
      </c>
      <c r="M33">
        <v>51.293672200059497</v>
      </c>
      <c r="O33">
        <v>51.277765699895099</v>
      </c>
      <c r="P33">
        <v>51.293672200059497</v>
      </c>
      <c r="Q33">
        <v>52.293748199939699</v>
      </c>
      <c r="R33">
        <v>52.2770487000234</v>
      </c>
      <c r="S33">
        <v>57.628204399952601</v>
      </c>
      <c r="T33">
        <v>0</v>
      </c>
      <c r="U33" t="s">
        <v>38</v>
      </c>
      <c r="V33">
        <v>0</v>
      </c>
      <c r="W33">
        <v>5.3497917999047697</v>
      </c>
      <c r="X33" t="s">
        <v>33</v>
      </c>
      <c r="Y33">
        <v>51741</v>
      </c>
      <c r="Z33">
        <v>1</v>
      </c>
      <c r="AA33" t="s">
        <v>34</v>
      </c>
      <c r="AB33" t="s">
        <v>35</v>
      </c>
      <c r="AD33" t="s">
        <v>36</v>
      </c>
      <c r="AE33">
        <v>59.990737387552898</v>
      </c>
      <c r="AF33" t="s">
        <v>37</v>
      </c>
    </row>
    <row r="34" spans="1:32" x14ac:dyDescent="0.3">
      <c r="A34">
        <v>32</v>
      </c>
      <c r="B34">
        <v>0</v>
      </c>
      <c r="C34">
        <v>32</v>
      </c>
      <c r="D34">
        <v>3</v>
      </c>
      <c r="E34" t="s">
        <v>38</v>
      </c>
      <c r="F34">
        <v>1</v>
      </c>
      <c r="G34">
        <v>0.592199899954721</v>
      </c>
      <c r="H34" t="s">
        <v>33</v>
      </c>
      <c r="I34">
        <v>32</v>
      </c>
      <c r="J34">
        <v>0</v>
      </c>
      <c r="K34">
        <v>32</v>
      </c>
      <c r="L34">
        <v>0</v>
      </c>
      <c r="M34">
        <v>57.644207400036898</v>
      </c>
      <c r="O34">
        <v>57.628711899975301</v>
      </c>
      <c r="P34">
        <v>57.644207400036898</v>
      </c>
      <c r="Q34">
        <v>58.643970699980798</v>
      </c>
      <c r="R34">
        <v>58.643970699980798</v>
      </c>
      <c r="S34">
        <v>59.245221999939503</v>
      </c>
      <c r="T34">
        <v>3</v>
      </c>
      <c r="U34" t="s">
        <v>38</v>
      </c>
      <c r="V34">
        <v>1</v>
      </c>
      <c r="W34">
        <v>0.592199899954721</v>
      </c>
      <c r="X34" t="s">
        <v>33</v>
      </c>
      <c r="Y34">
        <v>51741</v>
      </c>
      <c r="Z34">
        <v>1</v>
      </c>
      <c r="AA34" t="s">
        <v>34</v>
      </c>
      <c r="AB34" t="s">
        <v>35</v>
      </c>
      <c r="AD34" t="s">
        <v>36</v>
      </c>
      <c r="AE34">
        <v>59.990737387552898</v>
      </c>
      <c r="AF34" t="s">
        <v>37</v>
      </c>
    </row>
    <row r="35" spans="1:32" x14ac:dyDescent="0.3">
      <c r="A35">
        <v>33</v>
      </c>
      <c r="B35">
        <v>0</v>
      </c>
      <c r="C35">
        <v>33</v>
      </c>
      <c r="D35">
        <v>0</v>
      </c>
      <c r="E35" t="s">
        <v>32</v>
      </c>
      <c r="F35">
        <v>1</v>
      </c>
      <c r="G35">
        <v>0.70760390022769504</v>
      </c>
      <c r="H35" t="s">
        <v>33</v>
      </c>
      <c r="I35">
        <v>33</v>
      </c>
      <c r="J35">
        <v>0</v>
      </c>
      <c r="K35">
        <v>33</v>
      </c>
      <c r="L35">
        <v>0</v>
      </c>
      <c r="M35">
        <v>59.260831899940897</v>
      </c>
      <c r="O35">
        <v>59.245677199913104</v>
      </c>
      <c r="P35">
        <v>59.260831899940897</v>
      </c>
      <c r="Q35">
        <v>60.261052099987801</v>
      </c>
      <c r="R35">
        <v>60.261052099987801</v>
      </c>
      <c r="S35">
        <v>60.978248300030799</v>
      </c>
      <c r="T35">
        <v>0</v>
      </c>
      <c r="U35" t="s">
        <v>32</v>
      </c>
      <c r="V35">
        <v>1</v>
      </c>
      <c r="W35">
        <v>0.70760390022769504</v>
      </c>
      <c r="X35" t="s">
        <v>33</v>
      </c>
      <c r="Y35">
        <v>51741</v>
      </c>
      <c r="Z35">
        <v>1</v>
      </c>
      <c r="AA35" t="s">
        <v>34</v>
      </c>
      <c r="AB35" t="s">
        <v>35</v>
      </c>
      <c r="AD35" t="s">
        <v>36</v>
      </c>
      <c r="AE35">
        <v>59.990737387552898</v>
      </c>
      <c r="AF35" t="s">
        <v>37</v>
      </c>
    </row>
    <row r="36" spans="1:32" x14ac:dyDescent="0.3">
      <c r="A36">
        <v>34</v>
      </c>
      <c r="B36">
        <v>0</v>
      </c>
      <c r="C36">
        <v>34</v>
      </c>
      <c r="D36">
        <v>1</v>
      </c>
      <c r="E36" t="s">
        <v>32</v>
      </c>
      <c r="F36">
        <v>0</v>
      </c>
      <c r="G36">
        <v>0.53554509999230504</v>
      </c>
      <c r="H36" t="s">
        <v>33</v>
      </c>
      <c r="I36">
        <v>34</v>
      </c>
      <c r="J36">
        <v>0</v>
      </c>
      <c r="K36">
        <v>34</v>
      </c>
      <c r="L36">
        <v>0</v>
      </c>
      <c r="M36">
        <v>60.994107200065599</v>
      </c>
      <c r="O36">
        <v>60.978786499937897</v>
      </c>
      <c r="P36">
        <v>60.994107200065599</v>
      </c>
      <c r="Q36">
        <v>61.9943770000245</v>
      </c>
      <c r="R36">
        <v>61.977546700043597</v>
      </c>
      <c r="S36">
        <v>62.528708500089103</v>
      </c>
      <c r="T36">
        <v>1</v>
      </c>
      <c r="U36" t="s">
        <v>32</v>
      </c>
      <c r="V36">
        <v>0</v>
      </c>
      <c r="W36">
        <v>0.53554509999230504</v>
      </c>
      <c r="X36" t="s">
        <v>33</v>
      </c>
      <c r="Y36">
        <v>51741</v>
      </c>
      <c r="Z36">
        <v>1</v>
      </c>
      <c r="AA36" t="s">
        <v>34</v>
      </c>
      <c r="AB36" t="s">
        <v>35</v>
      </c>
      <c r="AD36" t="s">
        <v>36</v>
      </c>
      <c r="AE36">
        <v>59.990737387552898</v>
      </c>
      <c r="AF36" t="s">
        <v>37</v>
      </c>
    </row>
    <row r="37" spans="1:32" x14ac:dyDescent="0.3">
      <c r="A37">
        <v>35</v>
      </c>
      <c r="B37">
        <v>0</v>
      </c>
      <c r="C37">
        <v>35</v>
      </c>
      <c r="D37">
        <v>-5</v>
      </c>
      <c r="E37" t="s">
        <v>38</v>
      </c>
      <c r="F37">
        <v>1</v>
      </c>
      <c r="G37">
        <v>0.58161130012012996</v>
      </c>
      <c r="H37" t="s">
        <v>33</v>
      </c>
      <c r="I37">
        <v>35</v>
      </c>
      <c r="J37">
        <v>0</v>
      </c>
      <c r="K37">
        <v>35</v>
      </c>
      <c r="L37">
        <v>0</v>
      </c>
      <c r="M37">
        <v>62.544261900009502</v>
      </c>
      <c r="O37">
        <v>62.529326699906903</v>
      </c>
      <c r="P37">
        <v>62.544261900009502</v>
      </c>
      <c r="Q37">
        <v>63.5441924000624</v>
      </c>
      <c r="R37">
        <v>63.5441924000624</v>
      </c>
      <c r="S37">
        <v>64.128485499881194</v>
      </c>
      <c r="T37">
        <v>-5</v>
      </c>
      <c r="U37" t="s">
        <v>38</v>
      </c>
      <c r="V37">
        <v>1</v>
      </c>
      <c r="W37">
        <v>0.58161130012012996</v>
      </c>
      <c r="X37" t="s">
        <v>33</v>
      </c>
      <c r="Y37">
        <v>51741</v>
      </c>
      <c r="Z37">
        <v>1</v>
      </c>
      <c r="AA37" t="s">
        <v>34</v>
      </c>
      <c r="AB37" t="s">
        <v>35</v>
      </c>
      <c r="AD37" t="s">
        <v>36</v>
      </c>
      <c r="AE37">
        <v>59.990737387552898</v>
      </c>
      <c r="AF37" t="s">
        <v>37</v>
      </c>
    </row>
    <row r="38" spans="1:32" x14ac:dyDescent="0.3">
      <c r="A38">
        <v>36</v>
      </c>
      <c r="B38">
        <v>0</v>
      </c>
      <c r="C38">
        <v>36</v>
      </c>
      <c r="D38">
        <v>4</v>
      </c>
      <c r="E38" t="s">
        <v>32</v>
      </c>
      <c r="F38">
        <v>0</v>
      </c>
      <c r="G38">
        <v>0.52116470015607697</v>
      </c>
      <c r="H38" t="s">
        <v>33</v>
      </c>
      <c r="I38">
        <v>36</v>
      </c>
      <c r="J38">
        <v>0</v>
      </c>
      <c r="K38">
        <v>36</v>
      </c>
      <c r="L38">
        <v>0</v>
      </c>
      <c r="M38">
        <v>64.143730700015993</v>
      </c>
      <c r="O38">
        <v>64.129192899912596</v>
      </c>
      <c r="P38">
        <v>64.143730700015993</v>
      </c>
      <c r="Q38">
        <v>65.144296099897403</v>
      </c>
      <c r="R38">
        <v>65.144296099897403</v>
      </c>
      <c r="S38">
        <v>65.678307899972395</v>
      </c>
      <c r="T38">
        <v>4</v>
      </c>
      <c r="U38" t="s">
        <v>32</v>
      </c>
      <c r="V38">
        <v>0</v>
      </c>
      <c r="W38">
        <v>0.52116470015607697</v>
      </c>
      <c r="X38" t="s">
        <v>33</v>
      </c>
      <c r="Y38">
        <v>51741</v>
      </c>
      <c r="Z38">
        <v>1</v>
      </c>
      <c r="AA38" t="s">
        <v>34</v>
      </c>
      <c r="AB38" t="s">
        <v>35</v>
      </c>
      <c r="AD38" t="s">
        <v>36</v>
      </c>
      <c r="AE38">
        <v>59.990737387552898</v>
      </c>
      <c r="AF38" t="s">
        <v>37</v>
      </c>
    </row>
    <row r="39" spans="1:32" x14ac:dyDescent="0.3">
      <c r="A39">
        <v>37</v>
      </c>
      <c r="B39">
        <v>0</v>
      </c>
      <c r="C39">
        <v>37</v>
      </c>
      <c r="D39">
        <v>0</v>
      </c>
      <c r="E39" t="s">
        <v>38</v>
      </c>
      <c r="F39">
        <v>0</v>
      </c>
      <c r="G39">
        <v>9.1123400023206999E-2</v>
      </c>
      <c r="H39" t="s">
        <v>33</v>
      </c>
      <c r="I39">
        <v>37</v>
      </c>
      <c r="J39">
        <v>0</v>
      </c>
      <c r="K39">
        <v>37</v>
      </c>
      <c r="L39">
        <v>0</v>
      </c>
      <c r="M39">
        <v>65.693721699994001</v>
      </c>
      <c r="O39">
        <v>65.679107900010393</v>
      </c>
      <c r="P39">
        <v>65.693721699994001</v>
      </c>
      <c r="Q39">
        <v>66.6942080999724</v>
      </c>
      <c r="R39">
        <v>66.677370500052305</v>
      </c>
      <c r="S39">
        <v>66.778583100065504</v>
      </c>
      <c r="T39">
        <v>0</v>
      </c>
      <c r="U39" t="s">
        <v>38</v>
      </c>
      <c r="V39">
        <v>0</v>
      </c>
      <c r="W39">
        <v>9.1123400023206999E-2</v>
      </c>
      <c r="X39" t="s">
        <v>33</v>
      </c>
      <c r="Y39">
        <v>51741</v>
      </c>
      <c r="Z39">
        <v>1</v>
      </c>
      <c r="AA39" t="s">
        <v>34</v>
      </c>
      <c r="AB39" t="s">
        <v>35</v>
      </c>
      <c r="AD39" t="s">
        <v>36</v>
      </c>
      <c r="AE39">
        <v>59.990737387552898</v>
      </c>
      <c r="AF39" t="s">
        <v>37</v>
      </c>
    </row>
    <row r="40" spans="1:32" x14ac:dyDescent="0.3">
      <c r="A40">
        <v>38</v>
      </c>
      <c r="B40">
        <v>0</v>
      </c>
      <c r="C40">
        <v>38</v>
      </c>
      <c r="D40">
        <v>-2</v>
      </c>
      <c r="E40" t="s">
        <v>32</v>
      </c>
      <c r="F40">
        <v>0</v>
      </c>
      <c r="G40">
        <v>0.36134850000962598</v>
      </c>
      <c r="H40" t="s">
        <v>33</v>
      </c>
      <c r="I40">
        <v>38</v>
      </c>
      <c r="J40">
        <v>0</v>
      </c>
      <c r="K40">
        <v>38</v>
      </c>
      <c r="L40">
        <v>0</v>
      </c>
      <c r="M40">
        <v>66.793917699949802</v>
      </c>
      <c r="O40">
        <v>66.779371900018305</v>
      </c>
      <c r="P40">
        <v>66.793917699949802</v>
      </c>
      <c r="Q40">
        <v>67.794182599987806</v>
      </c>
      <c r="R40">
        <v>67.794182599987806</v>
      </c>
      <c r="S40">
        <v>68.161726800026301</v>
      </c>
      <c r="T40">
        <v>-2</v>
      </c>
      <c r="U40" t="s">
        <v>32</v>
      </c>
      <c r="V40">
        <v>0</v>
      </c>
      <c r="W40">
        <v>0.36134850000962598</v>
      </c>
      <c r="X40" t="s">
        <v>33</v>
      </c>
      <c r="Y40">
        <v>51741</v>
      </c>
      <c r="Z40">
        <v>1</v>
      </c>
      <c r="AA40" t="s">
        <v>34</v>
      </c>
      <c r="AB40" t="s">
        <v>35</v>
      </c>
      <c r="AD40" t="s">
        <v>36</v>
      </c>
      <c r="AE40">
        <v>59.990737387552898</v>
      </c>
      <c r="AF40" t="s">
        <v>37</v>
      </c>
    </row>
    <row r="41" spans="1:32" x14ac:dyDescent="0.3">
      <c r="A41">
        <v>39</v>
      </c>
      <c r="B41">
        <v>0</v>
      </c>
      <c r="C41">
        <v>39</v>
      </c>
      <c r="D41">
        <v>-3</v>
      </c>
      <c r="E41" t="s">
        <v>38</v>
      </c>
      <c r="F41">
        <v>1</v>
      </c>
      <c r="G41">
        <v>0.34119609999470402</v>
      </c>
      <c r="H41" t="s">
        <v>33</v>
      </c>
      <c r="I41">
        <v>39</v>
      </c>
      <c r="J41">
        <v>0</v>
      </c>
      <c r="K41">
        <v>39</v>
      </c>
      <c r="L41">
        <v>0</v>
      </c>
      <c r="M41">
        <v>68.177334300009505</v>
      </c>
      <c r="O41">
        <v>68.162244499893802</v>
      </c>
      <c r="P41">
        <v>68.177334300009505</v>
      </c>
      <c r="Q41">
        <v>69.177494399948003</v>
      </c>
      <c r="R41">
        <v>69.160648500081095</v>
      </c>
      <c r="S41">
        <v>69.511780400061895</v>
      </c>
      <c r="T41">
        <v>-3</v>
      </c>
      <c r="U41" t="s">
        <v>38</v>
      </c>
      <c r="V41">
        <v>1</v>
      </c>
      <c r="W41">
        <v>0.34119609999470402</v>
      </c>
      <c r="X41" t="s">
        <v>33</v>
      </c>
      <c r="Y41">
        <v>51741</v>
      </c>
      <c r="Z41">
        <v>1</v>
      </c>
      <c r="AA41" t="s">
        <v>34</v>
      </c>
      <c r="AB41" t="s">
        <v>35</v>
      </c>
      <c r="AD41" t="s">
        <v>36</v>
      </c>
      <c r="AE41">
        <v>59.990737387552898</v>
      </c>
      <c r="AF41" t="s">
        <v>37</v>
      </c>
    </row>
    <row r="42" spans="1:32" x14ac:dyDescent="0.3">
      <c r="A42">
        <v>40</v>
      </c>
      <c r="B42">
        <v>0</v>
      </c>
      <c r="C42">
        <v>40</v>
      </c>
      <c r="D42">
        <v>0</v>
      </c>
      <c r="E42" t="s">
        <v>38</v>
      </c>
      <c r="F42">
        <v>0</v>
      </c>
      <c r="G42">
        <v>0.34582399995997498</v>
      </c>
      <c r="H42" t="s">
        <v>33</v>
      </c>
      <c r="I42">
        <v>40</v>
      </c>
      <c r="J42">
        <v>0</v>
      </c>
      <c r="K42">
        <v>40</v>
      </c>
      <c r="L42">
        <v>0</v>
      </c>
      <c r="M42">
        <v>69.527203300036405</v>
      </c>
      <c r="O42">
        <v>69.512320500100003</v>
      </c>
      <c r="P42">
        <v>69.527203300036405</v>
      </c>
      <c r="Q42">
        <v>70.527303999988305</v>
      </c>
      <c r="R42">
        <v>70.527303999988305</v>
      </c>
      <c r="S42">
        <v>70.877630800008703</v>
      </c>
      <c r="T42">
        <v>0</v>
      </c>
      <c r="U42" t="s">
        <v>38</v>
      </c>
      <c r="V42">
        <v>0</v>
      </c>
      <c r="W42">
        <v>0.34582399995997498</v>
      </c>
      <c r="X42" t="s">
        <v>33</v>
      </c>
      <c r="Y42">
        <v>51741</v>
      </c>
      <c r="Z42">
        <v>1</v>
      </c>
      <c r="AA42" t="s">
        <v>34</v>
      </c>
      <c r="AB42" t="s">
        <v>35</v>
      </c>
      <c r="AD42" t="s">
        <v>36</v>
      </c>
      <c r="AE42">
        <v>59.990737387552898</v>
      </c>
      <c r="AF42" t="s">
        <v>37</v>
      </c>
    </row>
    <row r="43" spans="1:32" x14ac:dyDescent="0.3">
      <c r="A43">
        <v>41</v>
      </c>
      <c r="B43">
        <v>0</v>
      </c>
      <c r="C43">
        <v>41</v>
      </c>
      <c r="D43">
        <v>-2</v>
      </c>
      <c r="E43" t="s">
        <v>32</v>
      </c>
      <c r="F43">
        <v>0</v>
      </c>
      <c r="G43">
        <v>0.46106999996118198</v>
      </c>
      <c r="H43" t="s">
        <v>33</v>
      </c>
      <c r="I43">
        <v>41</v>
      </c>
      <c r="J43">
        <v>0</v>
      </c>
      <c r="K43">
        <v>41</v>
      </c>
      <c r="L43">
        <v>0</v>
      </c>
      <c r="M43">
        <v>70.894003499997694</v>
      </c>
      <c r="O43">
        <v>70.878149099880801</v>
      </c>
      <c r="P43">
        <v>70.894003499997694</v>
      </c>
      <c r="Q43">
        <v>71.894203400006504</v>
      </c>
      <c r="R43">
        <v>71.877380599966202</v>
      </c>
      <c r="S43">
        <v>72.346224399982006</v>
      </c>
      <c r="T43">
        <v>-2</v>
      </c>
      <c r="U43" t="s">
        <v>32</v>
      </c>
      <c r="V43">
        <v>0</v>
      </c>
      <c r="W43">
        <v>0.46106999996118198</v>
      </c>
      <c r="X43" t="s">
        <v>33</v>
      </c>
      <c r="Y43">
        <v>51741</v>
      </c>
      <c r="Z43">
        <v>1</v>
      </c>
      <c r="AA43" t="s">
        <v>34</v>
      </c>
      <c r="AB43" t="s">
        <v>35</v>
      </c>
      <c r="AD43" t="s">
        <v>36</v>
      </c>
      <c r="AE43">
        <v>59.990737387552898</v>
      </c>
      <c r="AF43" t="s">
        <v>37</v>
      </c>
    </row>
    <row r="44" spans="1:32" x14ac:dyDescent="0.3">
      <c r="A44">
        <v>42</v>
      </c>
      <c r="B44">
        <v>0</v>
      </c>
      <c r="C44">
        <v>42</v>
      </c>
      <c r="D44">
        <v>0</v>
      </c>
      <c r="E44" t="s">
        <v>38</v>
      </c>
      <c r="F44">
        <v>0</v>
      </c>
      <c r="G44">
        <v>3.7255699979141299E-2</v>
      </c>
      <c r="H44" t="s">
        <v>33</v>
      </c>
      <c r="I44">
        <v>42</v>
      </c>
      <c r="J44">
        <v>0</v>
      </c>
      <c r="K44">
        <v>42</v>
      </c>
      <c r="L44">
        <v>0</v>
      </c>
      <c r="M44">
        <v>72.360529900062801</v>
      </c>
      <c r="O44">
        <v>72.346796900033894</v>
      </c>
      <c r="P44">
        <v>72.360529900062801</v>
      </c>
      <c r="Q44">
        <v>73.360858999891207</v>
      </c>
      <c r="R44">
        <v>73.360858999891207</v>
      </c>
      <c r="S44">
        <v>73.411669400054905</v>
      </c>
      <c r="T44">
        <v>0</v>
      </c>
      <c r="U44" t="s">
        <v>38</v>
      </c>
      <c r="V44">
        <v>0</v>
      </c>
      <c r="W44">
        <v>3.7255699979141299E-2</v>
      </c>
      <c r="X44" t="s">
        <v>33</v>
      </c>
      <c r="Y44">
        <v>51741</v>
      </c>
      <c r="Z44">
        <v>1</v>
      </c>
      <c r="AA44" t="s">
        <v>34</v>
      </c>
      <c r="AB44" t="s">
        <v>35</v>
      </c>
      <c r="AD44" t="s">
        <v>36</v>
      </c>
      <c r="AE44">
        <v>59.990737387552898</v>
      </c>
      <c r="AF44" t="s">
        <v>37</v>
      </c>
    </row>
    <row r="45" spans="1:32" x14ac:dyDescent="0.3">
      <c r="A45">
        <v>43</v>
      </c>
      <c r="B45">
        <v>0</v>
      </c>
      <c r="C45">
        <v>43</v>
      </c>
      <c r="D45">
        <v>0</v>
      </c>
      <c r="E45" t="s">
        <v>38</v>
      </c>
      <c r="F45">
        <v>0</v>
      </c>
      <c r="G45">
        <v>0.39788160007446999</v>
      </c>
      <c r="H45" t="s">
        <v>33</v>
      </c>
      <c r="I45">
        <v>43</v>
      </c>
      <c r="J45">
        <v>0</v>
      </c>
      <c r="K45">
        <v>43</v>
      </c>
      <c r="L45">
        <v>0</v>
      </c>
      <c r="M45">
        <v>73.426952800014902</v>
      </c>
      <c r="O45">
        <v>73.412311400053994</v>
      </c>
      <c r="P45">
        <v>73.426952800014902</v>
      </c>
      <c r="Q45">
        <v>74.427339900052104</v>
      </c>
      <c r="R45">
        <v>74.427339900052104</v>
      </c>
      <c r="S45">
        <v>74.828397300094295</v>
      </c>
      <c r="T45">
        <v>0</v>
      </c>
      <c r="U45" t="s">
        <v>38</v>
      </c>
      <c r="V45">
        <v>0</v>
      </c>
      <c r="W45">
        <v>0.39788160007446999</v>
      </c>
      <c r="X45" t="s">
        <v>33</v>
      </c>
      <c r="Y45">
        <v>51741</v>
      </c>
      <c r="Z45">
        <v>1</v>
      </c>
      <c r="AA45" t="s">
        <v>34</v>
      </c>
      <c r="AB45" t="s">
        <v>35</v>
      </c>
      <c r="AD45" t="s">
        <v>36</v>
      </c>
      <c r="AE45">
        <v>59.990737387552898</v>
      </c>
      <c r="AF45" t="s">
        <v>37</v>
      </c>
    </row>
    <row r="46" spans="1:32" x14ac:dyDescent="0.3">
      <c r="A46">
        <v>44</v>
      </c>
      <c r="B46">
        <v>0</v>
      </c>
      <c r="C46">
        <v>44</v>
      </c>
      <c r="D46">
        <v>2</v>
      </c>
      <c r="E46" t="s">
        <v>32</v>
      </c>
      <c r="F46">
        <v>0</v>
      </c>
      <c r="G46">
        <v>0.397699900204315</v>
      </c>
      <c r="H46" t="s">
        <v>33</v>
      </c>
      <c r="I46">
        <v>44</v>
      </c>
      <c r="J46">
        <v>0</v>
      </c>
      <c r="K46">
        <v>44</v>
      </c>
      <c r="L46">
        <v>0</v>
      </c>
      <c r="M46">
        <v>74.843627599999294</v>
      </c>
      <c r="O46">
        <v>74.829018099932</v>
      </c>
      <c r="P46">
        <v>74.843627599999294</v>
      </c>
      <c r="Q46">
        <v>75.844349900027694</v>
      </c>
      <c r="R46">
        <v>75.844349900027694</v>
      </c>
      <c r="S46">
        <v>76.245263099903198</v>
      </c>
      <c r="T46">
        <v>2</v>
      </c>
      <c r="U46" t="s">
        <v>32</v>
      </c>
      <c r="V46">
        <v>0</v>
      </c>
      <c r="W46">
        <v>0.397699900204315</v>
      </c>
      <c r="X46" t="s">
        <v>33</v>
      </c>
      <c r="Y46">
        <v>51741</v>
      </c>
      <c r="Z46">
        <v>1</v>
      </c>
      <c r="AA46" t="s">
        <v>34</v>
      </c>
      <c r="AB46" t="s">
        <v>35</v>
      </c>
      <c r="AD46" t="s">
        <v>36</v>
      </c>
      <c r="AE46">
        <v>59.990737387552898</v>
      </c>
      <c r="AF46" t="s">
        <v>37</v>
      </c>
    </row>
    <row r="47" spans="1:32" x14ac:dyDescent="0.3">
      <c r="A47">
        <v>45</v>
      </c>
      <c r="B47">
        <v>0</v>
      </c>
      <c r="C47">
        <v>45</v>
      </c>
      <c r="D47">
        <v>0</v>
      </c>
      <c r="E47" t="s">
        <v>38</v>
      </c>
      <c r="F47">
        <v>0</v>
      </c>
      <c r="G47">
        <v>1.2402059999294499</v>
      </c>
      <c r="H47" t="s">
        <v>33</v>
      </c>
      <c r="I47">
        <v>45</v>
      </c>
      <c r="J47">
        <v>0</v>
      </c>
      <c r="K47">
        <v>45</v>
      </c>
      <c r="L47">
        <v>0</v>
      </c>
      <c r="M47">
        <v>76.260211500106294</v>
      </c>
      <c r="O47">
        <v>76.2458448999095</v>
      </c>
      <c r="P47">
        <v>76.260211500106294</v>
      </c>
      <c r="Q47">
        <v>77.260568700032294</v>
      </c>
      <c r="R47">
        <v>77.260568700032294</v>
      </c>
      <c r="S47">
        <v>78.511402999982195</v>
      </c>
      <c r="T47">
        <v>0</v>
      </c>
      <c r="U47" t="s">
        <v>38</v>
      </c>
      <c r="V47">
        <v>0</v>
      </c>
      <c r="W47">
        <v>1.2402059999294499</v>
      </c>
      <c r="X47" t="s">
        <v>33</v>
      </c>
      <c r="Y47">
        <v>51741</v>
      </c>
      <c r="Z47">
        <v>1</v>
      </c>
      <c r="AA47" t="s">
        <v>34</v>
      </c>
      <c r="AB47" t="s">
        <v>35</v>
      </c>
      <c r="AD47" t="s">
        <v>36</v>
      </c>
      <c r="AE47">
        <v>59.990737387552898</v>
      </c>
      <c r="AF47" t="s">
        <v>37</v>
      </c>
    </row>
    <row r="48" spans="1:32" x14ac:dyDescent="0.3">
      <c r="A48">
        <v>46</v>
      </c>
      <c r="B48">
        <v>0</v>
      </c>
      <c r="C48">
        <v>46</v>
      </c>
      <c r="D48">
        <v>-3</v>
      </c>
      <c r="E48" t="s">
        <v>32</v>
      </c>
      <c r="F48">
        <v>0</v>
      </c>
      <c r="G48">
        <v>0.324207599973306</v>
      </c>
      <c r="H48" t="s">
        <v>33</v>
      </c>
      <c r="I48">
        <v>46</v>
      </c>
      <c r="J48">
        <v>0</v>
      </c>
      <c r="K48">
        <v>46</v>
      </c>
      <c r="L48">
        <v>0</v>
      </c>
      <c r="M48">
        <v>78.526755600003497</v>
      </c>
      <c r="O48">
        <v>78.512051299912798</v>
      </c>
      <c r="P48">
        <v>78.526755600003497</v>
      </c>
      <c r="Q48">
        <v>79.526520499959503</v>
      </c>
      <c r="R48">
        <v>79.526520499959503</v>
      </c>
      <c r="S48">
        <v>79.860448000021194</v>
      </c>
      <c r="T48">
        <v>-3</v>
      </c>
      <c r="U48" t="s">
        <v>32</v>
      </c>
      <c r="V48">
        <v>0</v>
      </c>
      <c r="W48">
        <v>0.324207599973306</v>
      </c>
      <c r="X48" t="s">
        <v>33</v>
      </c>
      <c r="Y48">
        <v>51741</v>
      </c>
      <c r="Z48">
        <v>1</v>
      </c>
      <c r="AA48" t="s">
        <v>34</v>
      </c>
      <c r="AB48" t="s">
        <v>35</v>
      </c>
      <c r="AD48" t="s">
        <v>36</v>
      </c>
      <c r="AE48">
        <v>59.990737387552898</v>
      </c>
      <c r="AF48" t="s">
        <v>37</v>
      </c>
    </row>
    <row r="49" spans="1:32" x14ac:dyDescent="0.3">
      <c r="A49">
        <v>47</v>
      </c>
      <c r="B49">
        <v>0</v>
      </c>
      <c r="C49">
        <v>47</v>
      </c>
      <c r="D49">
        <v>0</v>
      </c>
      <c r="E49" t="s">
        <v>38</v>
      </c>
      <c r="F49">
        <v>0</v>
      </c>
      <c r="G49">
        <v>1.47557100001722</v>
      </c>
      <c r="H49" t="s">
        <v>33</v>
      </c>
      <c r="I49">
        <v>47</v>
      </c>
      <c r="J49">
        <v>0</v>
      </c>
      <c r="K49">
        <v>47</v>
      </c>
      <c r="L49">
        <v>0</v>
      </c>
      <c r="M49">
        <v>79.876418800093205</v>
      </c>
      <c r="O49">
        <v>79.860872899880604</v>
      </c>
      <c r="P49">
        <v>79.876418800093205</v>
      </c>
      <c r="Q49">
        <v>80.876577900024103</v>
      </c>
      <c r="R49">
        <v>80.859884100034805</v>
      </c>
      <c r="S49">
        <v>82.344047300051898</v>
      </c>
      <c r="T49">
        <v>0</v>
      </c>
      <c r="U49" t="s">
        <v>38</v>
      </c>
      <c r="V49">
        <v>0</v>
      </c>
      <c r="W49">
        <v>1.47557100001722</v>
      </c>
      <c r="X49" t="s">
        <v>33</v>
      </c>
      <c r="Y49">
        <v>51741</v>
      </c>
      <c r="Z49">
        <v>1</v>
      </c>
      <c r="AA49" t="s">
        <v>34</v>
      </c>
      <c r="AB49" t="s">
        <v>35</v>
      </c>
      <c r="AD49" t="s">
        <v>36</v>
      </c>
      <c r="AE49">
        <v>59.990737387552898</v>
      </c>
      <c r="AF49" t="s">
        <v>37</v>
      </c>
    </row>
    <row r="50" spans="1:32" x14ac:dyDescent="0.3">
      <c r="A50">
        <v>48</v>
      </c>
      <c r="B50">
        <v>0</v>
      </c>
      <c r="C50">
        <v>48</v>
      </c>
      <c r="D50">
        <v>1</v>
      </c>
      <c r="E50" t="s">
        <v>38</v>
      </c>
      <c r="F50">
        <v>1</v>
      </c>
      <c r="G50">
        <v>0.64603199996054095</v>
      </c>
      <c r="H50" t="s">
        <v>33</v>
      </c>
      <c r="I50">
        <v>48</v>
      </c>
      <c r="J50">
        <v>0</v>
      </c>
      <c r="K50">
        <v>48</v>
      </c>
      <c r="L50">
        <v>0</v>
      </c>
      <c r="M50">
        <v>82.359953199978904</v>
      </c>
      <c r="O50">
        <v>82.344617899972903</v>
      </c>
      <c r="P50">
        <v>82.359953199978904</v>
      </c>
      <c r="Q50">
        <v>83.360070300055597</v>
      </c>
      <c r="R50">
        <v>83.360070300055597</v>
      </c>
      <c r="S50">
        <v>84.010416799923405</v>
      </c>
      <c r="T50">
        <v>1</v>
      </c>
      <c r="U50" t="s">
        <v>38</v>
      </c>
      <c r="V50">
        <v>1</v>
      </c>
      <c r="W50">
        <v>0.64603199996054095</v>
      </c>
      <c r="X50" t="s">
        <v>33</v>
      </c>
      <c r="Y50">
        <v>51741</v>
      </c>
      <c r="Z50">
        <v>1</v>
      </c>
      <c r="AA50" t="s">
        <v>34</v>
      </c>
      <c r="AB50" t="s">
        <v>35</v>
      </c>
      <c r="AD50" t="s">
        <v>36</v>
      </c>
      <c r="AE50">
        <v>59.990737387552898</v>
      </c>
      <c r="AF50" t="s">
        <v>37</v>
      </c>
    </row>
    <row r="51" spans="1:32" x14ac:dyDescent="0.3">
      <c r="A51">
        <v>49</v>
      </c>
      <c r="B51">
        <v>0</v>
      </c>
      <c r="C51">
        <v>49</v>
      </c>
      <c r="D51">
        <v>-5</v>
      </c>
      <c r="E51" t="s">
        <v>32</v>
      </c>
      <c r="F51">
        <v>0</v>
      </c>
      <c r="G51">
        <v>0.18853430007584299</v>
      </c>
      <c r="H51" t="s">
        <v>33</v>
      </c>
      <c r="I51">
        <v>49</v>
      </c>
      <c r="J51">
        <v>0</v>
      </c>
      <c r="K51">
        <v>49</v>
      </c>
      <c r="L51">
        <v>0</v>
      </c>
      <c r="M51">
        <v>84.026363400043905</v>
      </c>
      <c r="O51">
        <v>84.010776699986295</v>
      </c>
      <c r="P51">
        <v>84.026363400043905</v>
      </c>
      <c r="Q51">
        <v>85.026441799942404</v>
      </c>
      <c r="R51">
        <v>85.009842199971899</v>
      </c>
      <c r="S51">
        <v>85.210369300097199</v>
      </c>
      <c r="T51">
        <v>-5</v>
      </c>
      <c r="U51" t="s">
        <v>32</v>
      </c>
      <c r="V51">
        <v>0</v>
      </c>
      <c r="W51">
        <v>0.18853430007584299</v>
      </c>
      <c r="X51" t="s">
        <v>33</v>
      </c>
      <c r="Y51">
        <v>51741</v>
      </c>
      <c r="Z51">
        <v>1</v>
      </c>
      <c r="AA51" t="s">
        <v>34</v>
      </c>
      <c r="AB51" t="s">
        <v>35</v>
      </c>
      <c r="AD51" t="s">
        <v>36</v>
      </c>
      <c r="AE51">
        <v>59.990737387552898</v>
      </c>
      <c r="AF51" t="s">
        <v>37</v>
      </c>
    </row>
    <row r="52" spans="1:32" x14ac:dyDescent="0.3">
      <c r="A52">
        <v>50</v>
      </c>
      <c r="B52">
        <v>0</v>
      </c>
      <c r="C52">
        <v>50</v>
      </c>
      <c r="D52">
        <v>-4</v>
      </c>
      <c r="E52" t="s">
        <v>38</v>
      </c>
      <c r="F52">
        <v>1</v>
      </c>
      <c r="G52">
        <v>0.31555390008725198</v>
      </c>
      <c r="H52" t="s">
        <v>33</v>
      </c>
      <c r="I52">
        <v>50</v>
      </c>
      <c r="J52">
        <v>0</v>
      </c>
      <c r="K52">
        <v>50</v>
      </c>
      <c r="L52">
        <v>0</v>
      </c>
      <c r="M52">
        <v>85.226335699902805</v>
      </c>
      <c r="O52">
        <v>85.2106411000713</v>
      </c>
      <c r="P52">
        <v>85.226335699902805</v>
      </c>
      <c r="Q52">
        <v>86.226421300088901</v>
      </c>
      <c r="R52">
        <v>86.209907799959097</v>
      </c>
      <c r="S52">
        <v>86.526751100085605</v>
      </c>
      <c r="T52">
        <v>-4</v>
      </c>
      <c r="U52" t="s">
        <v>38</v>
      </c>
      <c r="V52">
        <v>1</v>
      </c>
      <c r="W52">
        <v>0.31555390008725198</v>
      </c>
      <c r="X52" t="s">
        <v>33</v>
      </c>
      <c r="Y52">
        <v>51741</v>
      </c>
      <c r="Z52">
        <v>1</v>
      </c>
      <c r="AA52" t="s">
        <v>34</v>
      </c>
      <c r="AB52" t="s">
        <v>35</v>
      </c>
      <c r="AD52" t="s">
        <v>36</v>
      </c>
      <c r="AE52">
        <v>59.990737387552898</v>
      </c>
      <c r="AF52" t="s">
        <v>37</v>
      </c>
    </row>
    <row r="53" spans="1:32" x14ac:dyDescent="0.3">
      <c r="A53">
        <v>51</v>
      </c>
      <c r="B53">
        <v>0</v>
      </c>
      <c r="C53">
        <v>51</v>
      </c>
      <c r="D53">
        <v>1</v>
      </c>
      <c r="E53" t="s">
        <v>38</v>
      </c>
      <c r="F53">
        <v>1</v>
      </c>
      <c r="G53">
        <v>0.30436379997990998</v>
      </c>
      <c r="H53" t="s">
        <v>33</v>
      </c>
      <c r="I53">
        <v>51</v>
      </c>
      <c r="J53">
        <v>0</v>
      </c>
      <c r="K53">
        <v>51</v>
      </c>
      <c r="L53">
        <v>0</v>
      </c>
      <c r="M53">
        <v>86.543073399923699</v>
      </c>
      <c r="O53">
        <v>86.527031200006604</v>
      </c>
      <c r="P53">
        <v>86.543073399923699</v>
      </c>
      <c r="Q53">
        <v>87.543231999967205</v>
      </c>
      <c r="R53">
        <v>87.5264606000855</v>
      </c>
      <c r="S53">
        <v>87.843615300021995</v>
      </c>
      <c r="T53">
        <v>1</v>
      </c>
      <c r="U53" t="s">
        <v>38</v>
      </c>
      <c r="V53">
        <v>1</v>
      </c>
      <c r="W53">
        <v>0.30436379997990998</v>
      </c>
      <c r="X53" t="s">
        <v>33</v>
      </c>
      <c r="Y53">
        <v>51741</v>
      </c>
      <c r="Z53">
        <v>1</v>
      </c>
      <c r="AA53" t="s">
        <v>34</v>
      </c>
      <c r="AB53" t="s">
        <v>35</v>
      </c>
      <c r="AD53" t="s">
        <v>36</v>
      </c>
      <c r="AE53">
        <v>59.990737387552898</v>
      </c>
      <c r="AF53" t="s">
        <v>37</v>
      </c>
    </row>
    <row r="54" spans="1:32" x14ac:dyDescent="0.3">
      <c r="A54">
        <v>52</v>
      </c>
      <c r="B54">
        <v>0</v>
      </c>
      <c r="C54">
        <v>52</v>
      </c>
      <c r="D54">
        <v>2</v>
      </c>
      <c r="E54" t="s">
        <v>32</v>
      </c>
      <c r="F54">
        <v>0</v>
      </c>
      <c r="G54">
        <v>3.04856680007651</v>
      </c>
      <c r="H54" t="s">
        <v>33</v>
      </c>
      <c r="I54">
        <v>52</v>
      </c>
      <c r="J54">
        <v>0</v>
      </c>
      <c r="K54">
        <v>52</v>
      </c>
      <c r="L54">
        <v>0</v>
      </c>
      <c r="M54">
        <v>87.859736300073493</v>
      </c>
      <c r="O54">
        <v>87.844059600029098</v>
      </c>
      <c r="P54">
        <v>87.859736300073493</v>
      </c>
      <c r="Q54">
        <v>88.859779400052503</v>
      </c>
      <c r="R54">
        <v>88.843148200074197</v>
      </c>
      <c r="S54">
        <v>91.894945099949794</v>
      </c>
      <c r="T54">
        <v>2</v>
      </c>
      <c r="U54" t="s">
        <v>32</v>
      </c>
      <c r="V54">
        <v>0</v>
      </c>
      <c r="W54">
        <v>3.04856680007651</v>
      </c>
      <c r="X54" t="s">
        <v>33</v>
      </c>
      <c r="Y54">
        <v>51741</v>
      </c>
      <c r="Z54">
        <v>1</v>
      </c>
      <c r="AA54" t="s">
        <v>34</v>
      </c>
      <c r="AB54" t="s">
        <v>35</v>
      </c>
      <c r="AD54" t="s">
        <v>36</v>
      </c>
      <c r="AE54">
        <v>59.990737387552898</v>
      </c>
      <c r="AF54" t="s">
        <v>37</v>
      </c>
    </row>
    <row r="55" spans="1:32" x14ac:dyDescent="0.3">
      <c r="A55">
        <v>53</v>
      </c>
      <c r="B55">
        <v>0</v>
      </c>
      <c r="C55">
        <v>53</v>
      </c>
      <c r="D55">
        <v>2</v>
      </c>
      <c r="E55" t="s">
        <v>32</v>
      </c>
      <c r="F55">
        <v>0</v>
      </c>
      <c r="G55">
        <v>0.70238479995168701</v>
      </c>
      <c r="H55" t="s">
        <v>33</v>
      </c>
      <c r="I55">
        <v>53</v>
      </c>
      <c r="J55">
        <v>0</v>
      </c>
      <c r="K55">
        <v>53</v>
      </c>
      <c r="L55">
        <v>0</v>
      </c>
      <c r="M55">
        <v>91.910282700089695</v>
      </c>
      <c r="O55">
        <v>91.895514399977401</v>
      </c>
      <c r="P55">
        <v>91.910282700089695</v>
      </c>
      <c r="Q55">
        <v>92.910528500098707</v>
      </c>
      <c r="R55">
        <v>92.910528500098707</v>
      </c>
      <c r="S55">
        <v>93.628040200099306</v>
      </c>
      <c r="T55">
        <v>2</v>
      </c>
      <c r="U55" t="s">
        <v>32</v>
      </c>
      <c r="V55">
        <v>0</v>
      </c>
      <c r="W55">
        <v>0.70238479995168701</v>
      </c>
      <c r="X55" t="s">
        <v>33</v>
      </c>
      <c r="Y55">
        <v>51741</v>
      </c>
      <c r="Z55">
        <v>1</v>
      </c>
      <c r="AA55" t="s">
        <v>34</v>
      </c>
      <c r="AB55" t="s">
        <v>35</v>
      </c>
      <c r="AD55" t="s">
        <v>36</v>
      </c>
      <c r="AE55">
        <v>59.990737387552898</v>
      </c>
      <c r="AF55" t="s">
        <v>37</v>
      </c>
    </row>
    <row r="56" spans="1:32" x14ac:dyDescent="0.3">
      <c r="A56">
        <v>54</v>
      </c>
      <c r="B56">
        <v>0</v>
      </c>
      <c r="C56">
        <v>54</v>
      </c>
      <c r="D56">
        <v>3</v>
      </c>
      <c r="E56" t="s">
        <v>38</v>
      </c>
      <c r="F56">
        <v>1</v>
      </c>
      <c r="G56">
        <v>0.63052399992011399</v>
      </c>
      <c r="H56" t="s">
        <v>33</v>
      </c>
      <c r="I56">
        <v>54</v>
      </c>
      <c r="J56">
        <v>0</v>
      </c>
      <c r="K56">
        <v>54</v>
      </c>
      <c r="L56">
        <v>0</v>
      </c>
      <c r="M56">
        <v>93.643605999881402</v>
      </c>
      <c r="O56">
        <v>93.628716900013302</v>
      </c>
      <c r="P56">
        <v>93.643605999881402</v>
      </c>
      <c r="Q56">
        <v>94.643632800085399</v>
      </c>
      <c r="R56">
        <v>94.643632800085399</v>
      </c>
      <c r="S56">
        <v>95.277376000070902</v>
      </c>
      <c r="T56">
        <v>3</v>
      </c>
      <c r="U56" t="s">
        <v>38</v>
      </c>
      <c r="V56">
        <v>1</v>
      </c>
      <c r="W56">
        <v>0.63052399992011399</v>
      </c>
      <c r="X56" t="s">
        <v>33</v>
      </c>
      <c r="Y56">
        <v>51741</v>
      </c>
      <c r="Z56">
        <v>1</v>
      </c>
      <c r="AA56" t="s">
        <v>34</v>
      </c>
      <c r="AB56" t="s">
        <v>35</v>
      </c>
      <c r="AD56" t="s">
        <v>36</v>
      </c>
      <c r="AE56">
        <v>59.990737387552898</v>
      </c>
      <c r="AF56" t="s">
        <v>37</v>
      </c>
    </row>
    <row r="57" spans="1:32" x14ac:dyDescent="0.3">
      <c r="A57">
        <v>55</v>
      </c>
      <c r="B57">
        <v>0</v>
      </c>
      <c r="C57">
        <v>55</v>
      </c>
      <c r="D57">
        <v>-3</v>
      </c>
      <c r="E57" t="s">
        <v>32</v>
      </c>
      <c r="F57">
        <v>0</v>
      </c>
      <c r="G57">
        <v>0.44169620005413801</v>
      </c>
      <c r="H57" t="s">
        <v>33</v>
      </c>
      <c r="I57">
        <v>55</v>
      </c>
      <c r="J57">
        <v>0</v>
      </c>
      <c r="K57">
        <v>55</v>
      </c>
      <c r="L57">
        <v>0</v>
      </c>
      <c r="M57">
        <v>95.293245800072299</v>
      </c>
      <c r="O57">
        <v>95.277954800054403</v>
      </c>
      <c r="P57">
        <v>95.293245800072299</v>
      </c>
      <c r="Q57">
        <v>96.293847300112205</v>
      </c>
      <c r="R57">
        <v>96.276761200046096</v>
      </c>
      <c r="S57">
        <v>96.727830100106004</v>
      </c>
      <c r="T57">
        <v>-3</v>
      </c>
      <c r="U57" t="s">
        <v>32</v>
      </c>
      <c r="V57">
        <v>0</v>
      </c>
      <c r="W57">
        <v>0.44169620005413801</v>
      </c>
      <c r="X57" t="s">
        <v>33</v>
      </c>
      <c r="Y57">
        <v>51741</v>
      </c>
      <c r="Z57">
        <v>1</v>
      </c>
      <c r="AA57" t="s">
        <v>34</v>
      </c>
      <c r="AB57" t="s">
        <v>35</v>
      </c>
      <c r="AD57" t="s">
        <v>36</v>
      </c>
      <c r="AE57">
        <v>59.990737387552898</v>
      </c>
      <c r="AF57" t="s">
        <v>37</v>
      </c>
    </row>
    <row r="58" spans="1:32" x14ac:dyDescent="0.3">
      <c r="A58">
        <v>56</v>
      </c>
      <c r="B58">
        <v>0</v>
      </c>
      <c r="C58">
        <v>56</v>
      </c>
      <c r="D58">
        <v>0</v>
      </c>
      <c r="E58" t="s">
        <v>38</v>
      </c>
      <c r="F58">
        <v>0</v>
      </c>
      <c r="G58">
        <v>0.40823649987578298</v>
      </c>
      <c r="H58" t="s">
        <v>33</v>
      </c>
      <c r="I58">
        <v>56</v>
      </c>
      <c r="J58">
        <v>0</v>
      </c>
      <c r="K58">
        <v>56</v>
      </c>
      <c r="L58">
        <v>0</v>
      </c>
      <c r="M58">
        <v>96.743516900110905</v>
      </c>
      <c r="O58">
        <v>96.728390699950893</v>
      </c>
      <c r="P58">
        <v>96.743516900110905</v>
      </c>
      <c r="Q58">
        <v>97.743670800002207</v>
      </c>
      <c r="R58">
        <v>97.743670800002207</v>
      </c>
      <c r="S58">
        <v>98.161330200033206</v>
      </c>
      <c r="T58">
        <v>0</v>
      </c>
      <c r="U58" t="s">
        <v>38</v>
      </c>
      <c r="V58">
        <v>0</v>
      </c>
      <c r="W58">
        <v>0.40823649987578298</v>
      </c>
      <c r="X58" t="s">
        <v>33</v>
      </c>
      <c r="Y58">
        <v>51741</v>
      </c>
      <c r="Z58">
        <v>1</v>
      </c>
      <c r="AA58" t="s">
        <v>34</v>
      </c>
      <c r="AB58" t="s">
        <v>35</v>
      </c>
      <c r="AD58" t="s">
        <v>36</v>
      </c>
      <c r="AE58">
        <v>59.990737387552898</v>
      </c>
      <c r="AF58" t="s">
        <v>37</v>
      </c>
    </row>
    <row r="59" spans="1:32" x14ac:dyDescent="0.3">
      <c r="A59">
        <v>57</v>
      </c>
      <c r="B59">
        <v>0</v>
      </c>
      <c r="C59">
        <v>57</v>
      </c>
      <c r="D59">
        <v>0</v>
      </c>
      <c r="E59" t="s">
        <v>32</v>
      </c>
      <c r="F59">
        <v>1</v>
      </c>
      <c r="G59">
        <v>0.373702299781143</v>
      </c>
      <c r="H59" t="s">
        <v>33</v>
      </c>
      <c r="I59">
        <v>57</v>
      </c>
      <c r="J59">
        <v>0</v>
      </c>
      <c r="K59">
        <v>57</v>
      </c>
      <c r="L59">
        <v>0</v>
      </c>
      <c r="M59">
        <v>98.176755500026005</v>
      </c>
      <c r="O59">
        <v>98.161862500011907</v>
      </c>
      <c r="P59">
        <v>98.176755500026005</v>
      </c>
      <c r="Q59">
        <v>99.176898000063304</v>
      </c>
      <c r="R59">
        <v>99.176898000063304</v>
      </c>
      <c r="S59">
        <v>99.5610038999002</v>
      </c>
      <c r="T59">
        <v>0</v>
      </c>
      <c r="U59" t="s">
        <v>32</v>
      </c>
      <c r="V59">
        <v>1</v>
      </c>
      <c r="W59">
        <v>0.373702299781143</v>
      </c>
      <c r="X59" t="s">
        <v>33</v>
      </c>
      <c r="Y59">
        <v>51741</v>
      </c>
      <c r="Z59">
        <v>1</v>
      </c>
      <c r="AA59" t="s">
        <v>34</v>
      </c>
      <c r="AB59" t="s">
        <v>35</v>
      </c>
      <c r="AD59" t="s">
        <v>36</v>
      </c>
      <c r="AE59">
        <v>59.990737387552898</v>
      </c>
      <c r="AF59" t="s">
        <v>37</v>
      </c>
    </row>
    <row r="60" spans="1:32" x14ac:dyDescent="0.3">
      <c r="A60">
        <v>58</v>
      </c>
      <c r="B60">
        <v>0</v>
      </c>
      <c r="C60">
        <v>58</v>
      </c>
      <c r="D60">
        <v>0</v>
      </c>
      <c r="E60" t="s">
        <v>38</v>
      </c>
      <c r="F60">
        <v>0</v>
      </c>
      <c r="G60">
        <v>0.51536900014616505</v>
      </c>
      <c r="H60" t="s">
        <v>33</v>
      </c>
      <c r="I60">
        <v>58</v>
      </c>
      <c r="J60">
        <v>0</v>
      </c>
      <c r="K60">
        <v>58</v>
      </c>
      <c r="L60">
        <v>0</v>
      </c>
      <c r="M60">
        <v>99.576903600012798</v>
      </c>
      <c r="O60">
        <v>99.561511300038504</v>
      </c>
      <c r="P60">
        <v>99.576903600012798</v>
      </c>
      <c r="Q60">
        <v>100.576889599906</v>
      </c>
      <c r="R60">
        <v>100.560391299892</v>
      </c>
      <c r="S60">
        <v>101.077601599972</v>
      </c>
      <c r="T60">
        <v>0</v>
      </c>
      <c r="U60" t="s">
        <v>38</v>
      </c>
      <c r="V60">
        <v>0</v>
      </c>
      <c r="W60">
        <v>0.51536900014616505</v>
      </c>
      <c r="X60" t="s">
        <v>33</v>
      </c>
      <c r="Y60">
        <v>51741</v>
      </c>
      <c r="Z60">
        <v>1</v>
      </c>
      <c r="AA60" t="s">
        <v>34</v>
      </c>
      <c r="AB60" t="s">
        <v>35</v>
      </c>
      <c r="AD60" t="s">
        <v>36</v>
      </c>
      <c r="AE60">
        <v>59.990737387552898</v>
      </c>
      <c r="AF60" t="s">
        <v>37</v>
      </c>
    </row>
    <row r="61" spans="1:32" x14ac:dyDescent="0.3">
      <c r="A61">
        <v>59</v>
      </c>
      <c r="B61">
        <v>0</v>
      </c>
      <c r="C61">
        <v>59</v>
      </c>
      <c r="D61">
        <v>-3</v>
      </c>
      <c r="E61" t="s">
        <v>32</v>
      </c>
      <c r="F61">
        <v>0</v>
      </c>
      <c r="G61">
        <v>0.402128599816933</v>
      </c>
      <c r="H61" t="s">
        <v>33</v>
      </c>
      <c r="I61">
        <v>59</v>
      </c>
      <c r="J61">
        <v>0</v>
      </c>
      <c r="K61">
        <v>59</v>
      </c>
      <c r="L61">
        <v>0</v>
      </c>
      <c r="M61">
        <v>101.093513000058</v>
      </c>
      <c r="O61">
        <v>101.07807360007401</v>
      </c>
      <c r="P61">
        <v>101.093513000058</v>
      </c>
      <c r="Q61">
        <v>102.093530700076</v>
      </c>
      <c r="R61">
        <v>102.076469300081</v>
      </c>
      <c r="S61">
        <v>102.494952999986</v>
      </c>
      <c r="T61">
        <v>-3</v>
      </c>
      <c r="U61" t="s">
        <v>32</v>
      </c>
      <c r="V61">
        <v>0</v>
      </c>
      <c r="W61">
        <v>0.402128599816933</v>
      </c>
      <c r="X61" t="s">
        <v>33</v>
      </c>
      <c r="Y61">
        <v>51741</v>
      </c>
      <c r="Z61">
        <v>1</v>
      </c>
      <c r="AA61" t="s">
        <v>34</v>
      </c>
      <c r="AB61" t="s">
        <v>35</v>
      </c>
      <c r="AD61" t="s">
        <v>36</v>
      </c>
      <c r="AE61">
        <v>59.990737387552898</v>
      </c>
      <c r="AF61" t="s">
        <v>37</v>
      </c>
    </row>
    <row r="62" spans="1:32" x14ac:dyDescent="0.3">
      <c r="A62">
        <v>60</v>
      </c>
      <c r="B62">
        <v>0</v>
      </c>
      <c r="C62">
        <v>60</v>
      </c>
      <c r="D62">
        <v>-4</v>
      </c>
      <c r="E62" t="s">
        <v>32</v>
      </c>
      <c r="F62">
        <v>0</v>
      </c>
      <c r="G62">
        <v>0.36602720012888301</v>
      </c>
      <c r="H62" t="s">
        <v>33</v>
      </c>
      <c r="I62">
        <v>60</v>
      </c>
      <c r="J62">
        <v>0</v>
      </c>
      <c r="K62">
        <v>60</v>
      </c>
      <c r="L62">
        <v>0</v>
      </c>
      <c r="M62">
        <v>102.509881699923</v>
      </c>
      <c r="O62">
        <v>102.495574400061</v>
      </c>
      <c r="P62">
        <v>102.509881699923</v>
      </c>
      <c r="Q62">
        <v>103.510361999971</v>
      </c>
      <c r="R62">
        <v>103.510361999971</v>
      </c>
      <c r="S62">
        <v>103.877336299978</v>
      </c>
      <c r="T62">
        <v>-4</v>
      </c>
      <c r="U62" t="s">
        <v>32</v>
      </c>
      <c r="V62">
        <v>0</v>
      </c>
      <c r="W62">
        <v>0.36602720012888301</v>
      </c>
      <c r="X62" t="s">
        <v>33</v>
      </c>
      <c r="Y62">
        <v>51741</v>
      </c>
      <c r="Z62">
        <v>1</v>
      </c>
      <c r="AA62" t="s">
        <v>34</v>
      </c>
      <c r="AB62" t="s">
        <v>35</v>
      </c>
      <c r="AD62" t="s">
        <v>36</v>
      </c>
      <c r="AE62">
        <v>59.990737387552898</v>
      </c>
      <c r="AF62" t="s">
        <v>37</v>
      </c>
    </row>
    <row r="63" spans="1:32" x14ac:dyDescent="0.3">
      <c r="A63">
        <v>61</v>
      </c>
      <c r="B63">
        <v>0</v>
      </c>
      <c r="C63">
        <v>61</v>
      </c>
      <c r="D63">
        <v>0</v>
      </c>
      <c r="E63" t="s">
        <v>38</v>
      </c>
      <c r="F63">
        <v>0</v>
      </c>
      <c r="G63">
        <v>0.29715630016289601</v>
      </c>
      <c r="H63" t="s">
        <v>33</v>
      </c>
      <c r="I63">
        <v>61</v>
      </c>
      <c r="J63">
        <v>0</v>
      </c>
      <c r="K63">
        <v>61</v>
      </c>
      <c r="L63">
        <v>0</v>
      </c>
      <c r="M63">
        <v>103.892943300073</v>
      </c>
      <c r="O63">
        <v>103.877841900102</v>
      </c>
      <c r="P63">
        <v>103.892943300073</v>
      </c>
      <c r="Q63">
        <v>104.893572000088</v>
      </c>
      <c r="R63">
        <v>104.87693089991799</v>
      </c>
      <c r="S63">
        <v>105.17747649992801</v>
      </c>
      <c r="T63">
        <v>0</v>
      </c>
      <c r="U63" t="s">
        <v>38</v>
      </c>
      <c r="V63">
        <v>0</v>
      </c>
      <c r="W63">
        <v>0.29715630016289601</v>
      </c>
      <c r="X63" t="s">
        <v>33</v>
      </c>
      <c r="Y63">
        <v>51741</v>
      </c>
      <c r="Z63">
        <v>1</v>
      </c>
      <c r="AA63" t="s">
        <v>34</v>
      </c>
      <c r="AB63" t="s">
        <v>35</v>
      </c>
      <c r="AD63" t="s">
        <v>36</v>
      </c>
      <c r="AE63">
        <v>59.990737387552898</v>
      </c>
      <c r="AF63" t="s">
        <v>37</v>
      </c>
    </row>
    <row r="64" spans="1:32" x14ac:dyDescent="0.3">
      <c r="A64">
        <v>62</v>
      </c>
      <c r="B64">
        <v>0</v>
      </c>
      <c r="C64">
        <v>62</v>
      </c>
      <c r="D64">
        <v>-4</v>
      </c>
      <c r="E64" t="s">
        <v>32</v>
      </c>
      <c r="F64">
        <v>0</v>
      </c>
      <c r="G64">
        <v>0.41519590001553203</v>
      </c>
      <c r="H64" t="s">
        <v>33</v>
      </c>
      <c r="I64">
        <v>62</v>
      </c>
      <c r="J64">
        <v>0</v>
      </c>
      <c r="K64">
        <v>62</v>
      </c>
      <c r="L64">
        <v>0</v>
      </c>
      <c r="M64">
        <v>105.1931131999</v>
      </c>
      <c r="O64">
        <v>105.178117899922</v>
      </c>
      <c r="P64">
        <v>105.1931131999</v>
      </c>
      <c r="Q64">
        <v>106.193719600094</v>
      </c>
      <c r="R64">
        <v>106.17676019994499</v>
      </c>
      <c r="S64">
        <v>106.59434819989799</v>
      </c>
      <c r="T64">
        <v>-4</v>
      </c>
      <c r="U64" t="s">
        <v>32</v>
      </c>
      <c r="V64">
        <v>0</v>
      </c>
      <c r="W64">
        <v>0.41519590001553203</v>
      </c>
      <c r="X64" t="s">
        <v>33</v>
      </c>
      <c r="Y64">
        <v>51741</v>
      </c>
      <c r="Z64">
        <v>1</v>
      </c>
      <c r="AA64" t="s">
        <v>34</v>
      </c>
      <c r="AB64" t="s">
        <v>35</v>
      </c>
      <c r="AD64" t="s">
        <v>36</v>
      </c>
      <c r="AE64">
        <v>59.990737387552898</v>
      </c>
      <c r="AF64" t="s">
        <v>37</v>
      </c>
    </row>
    <row r="65" spans="1:32" x14ac:dyDescent="0.3">
      <c r="A65">
        <v>63</v>
      </c>
      <c r="B65">
        <v>0</v>
      </c>
      <c r="C65">
        <v>63</v>
      </c>
      <c r="D65">
        <v>-3</v>
      </c>
      <c r="E65" t="s">
        <v>38</v>
      </c>
      <c r="F65">
        <v>1</v>
      </c>
      <c r="G65">
        <v>0.506667400011792</v>
      </c>
      <c r="H65" t="s">
        <v>33</v>
      </c>
      <c r="I65">
        <v>63</v>
      </c>
      <c r="J65">
        <v>0</v>
      </c>
      <c r="K65">
        <v>63</v>
      </c>
      <c r="L65">
        <v>0</v>
      </c>
      <c r="M65">
        <v>106.61007350008001</v>
      </c>
      <c r="O65">
        <v>106.59495709999401</v>
      </c>
      <c r="P65">
        <v>106.61007350008001</v>
      </c>
      <c r="Q65">
        <v>107.61023560003299</v>
      </c>
      <c r="R65">
        <v>107.61023560003299</v>
      </c>
      <c r="S65">
        <v>108.12766420003</v>
      </c>
      <c r="T65">
        <v>-3</v>
      </c>
      <c r="U65" t="s">
        <v>38</v>
      </c>
      <c r="V65">
        <v>1</v>
      </c>
      <c r="W65">
        <v>0.506667400011792</v>
      </c>
      <c r="X65" t="s">
        <v>33</v>
      </c>
      <c r="Y65">
        <v>51741</v>
      </c>
      <c r="Z65">
        <v>1</v>
      </c>
      <c r="AA65" t="s">
        <v>34</v>
      </c>
      <c r="AB65" t="s">
        <v>35</v>
      </c>
      <c r="AD65" t="s">
        <v>36</v>
      </c>
      <c r="AE65">
        <v>59.990737387552898</v>
      </c>
      <c r="AF65" t="s">
        <v>37</v>
      </c>
    </row>
    <row r="66" spans="1:32" x14ac:dyDescent="0.3">
      <c r="A66">
        <v>64</v>
      </c>
      <c r="B66">
        <v>0</v>
      </c>
      <c r="C66">
        <v>64</v>
      </c>
      <c r="D66">
        <v>4</v>
      </c>
      <c r="E66" t="s">
        <v>32</v>
      </c>
      <c r="F66">
        <v>0</v>
      </c>
      <c r="G66">
        <v>0.39812939986586499</v>
      </c>
      <c r="H66" t="s">
        <v>33</v>
      </c>
      <c r="I66">
        <v>64</v>
      </c>
      <c r="J66">
        <v>0</v>
      </c>
      <c r="K66">
        <v>64</v>
      </c>
      <c r="L66">
        <v>0</v>
      </c>
      <c r="M66">
        <v>108.143164600012</v>
      </c>
      <c r="O66">
        <v>108.128347000107</v>
      </c>
      <c r="P66">
        <v>108.143164600012</v>
      </c>
      <c r="Q66">
        <v>109.143617500085</v>
      </c>
      <c r="R66">
        <v>109.143617500085</v>
      </c>
      <c r="S66">
        <v>109.54491820000101</v>
      </c>
      <c r="T66">
        <v>4</v>
      </c>
      <c r="U66" t="s">
        <v>32</v>
      </c>
      <c r="V66">
        <v>0</v>
      </c>
      <c r="W66">
        <v>0.39812939986586499</v>
      </c>
      <c r="X66" t="s">
        <v>33</v>
      </c>
      <c r="Y66">
        <v>51741</v>
      </c>
      <c r="Z66">
        <v>1</v>
      </c>
      <c r="AA66" t="s">
        <v>34</v>
      </c>
      <c r="AB66" t="s">
        <v>35</v>
      </c>
      <c r="AD66" t="s">
        <v>36</v>
      </c>
      <c r="AE66">
        <v>59.990737387552898</v>
      </c>
      <c r="AF66" t="s">
        <v>37</v>
      </c>
    </row>
    <row r="67" spans="1:32" x14ac:dyDescent="0.3">
      <c r="A67">
        <v>65</v>
      </c>
      <c r="B67">
        <v>0</v>
      </c>
      <c r="C67">
        <v>65</v>
      </c>
      <c r="D67">
        <v>0</v>
      </c>
      <c r="E67" t="s">
        <v>38</v>
      </c>
      <c r="F67">
        <v>0</v>
      </c>
      <c r="G67">
        <v>0.40082020009867803</v>
      </c>
      <c r="H67" t="s">
        <v>33</v>
      </c>
      <c r="I67">
        <v>65</v>
      </c>
      <c r="J67">
        <v>0</v>
      </c>
      <c r="K67">
        <v>65</v>
      </c>
      <c r="L67">
        <v>0</v>
      </c>
      <c r="M67">
        <v>109.559850600082</v>
      </c>
      <c r="O67">
        <v>109.545505800051</v>
      </c>
      <c r="P67">
        <v>109.559850600082</v>
      </c>
      <c r="Q67">
        <v>110.560260399943</v>
      </c>
      <c r="R67">
        <v>110.560260399943</v>
      </c>
      <c r="S67">
        <v>110.97771440003901</v>
      </c>
      <c r="T67">
        <v>0</v>
      </c>
      <c r="U67" t="s">
        <v>38</v>
      </c>
      <c r="V67">
        <v>0</v>
      </c>
      <c r="W67">
        <v>0.40082020009867803</v>
      </c>
      <c r="X67" t="s">
        <v>33</v>
      </c>
      <c r="Y67">
        <v>51741</v>
      </c>
      <c r="Z67">
        <v>1</v>
      </c>
      <c r="AA67" t="s">
        <v>34</v>
      </c>
      <c r="AB67" t="s">
        <v>35</v>
      </c>
      <c r="AD67" t="s">
        <v>36</v>
      </c>
      <c r="AE67">
        <v>59.990737387552898</v>
      </c>
      <c r="AF67" t="s">
        <v>37</v>
      </c>
    </row>
    <row r="68" spans="1:32" x14ac:dyDescent="0.3">
      <c r="A68">
        <v>66</v>
      </c>
      <c r="B68">
        <v>0</v>
      </c>
      <c r="C68">
        <v>66</v>
      </c>
      <c r="D68">
        <v>-5</v>
      </c>
      <c r="E68" t="s">
        <v>32</v>
      </c>
      <c r="F68">
        <v>0</v>
      </c>
      <c r="G68">
        <v>0.29734749998897297</v>
      </c>
      <c r="H68" t="s">
        <v>33</v>
      </c>
      <c r="I68">
        <v>66</v>
      </c>
      <c r="J68">
        <v>0</v>
      </c>
      <c r="K68">
        <v>66</v>
      </c>
      <c r="L68">
        <v>0</v>
      </c>
      <c r="M68">
        <v>110.992970200022</v>
      </c>
      <c r="O68">
        <v>110.97832809993901</v>
      </c>
      <c r="P68">
        <v>110.992970200022</v>
      </c>
      <c r="Q68">
        <v>111.99359890003601</v>
      </c>
      <c r="R68">
        <v>111.99359890003601</v>
      </c>
      <c r="S68">
        <v>112.29406159999699</v>
      </c>
      <c r="T68">
        <v>-5</v>
      </c>
      <c r="U68" t="s">
        <v>32</v>
      </c>
      <c r="V68">
        <v>0</v>
      </c>
      <c r="W68">
        <v>0.29734749998897297</v>
      </c>
      <c r="X68" t="s">
        <v>33</v>
      </c>
      <c r="Y68">
        <v>51741</v>
      </c>
      <c r="Z68">
        <v>1</v>
      </c>
      <c r="AA68" t="s">
        <v>34</v>
      </c>
      <c r="AB68" t="s">
        <v>35</v>
      </c>
      <c r="AD68" t="s">
        <v>36</v>
      </c>
      <c r="AE68">
        <v>59.990737387552898</v>
      </c>
      <c r="AF68" t="s">
        <v>37</v>
      </c>
    </row>
    <row r="69" spans="1:32" x14ac:dyDescent="0.3">
      <c r="A69">
        <v>67</v>
      </c>
      <c r="B69">
        <v>0</v>
      </c>
      <c r="C69">
        <v>67</v>
      </c>
      <c r="D69">
        <v>0</v>
      </c>
      <c r="E69" t="s">
        <v>38</v>
      </c>
      <c r="F69">
        <v>0</v>
      </c>
      <c r="G69">
        <v>0.40949039999395598</v>
      </c>
      <c r="H69" t="s">
        <v>33</v>
      </c>
      <c r="I69">
        <v>67</v>
      </c>
      <c r="J69">
        <v>0</v>
      </c>
      <c r="K69">
        <v>67</v>
      </c>
      <c r="L69">
        <v>0</v>
      </c>
      <c r="M69">
        <v>112.309875400038</v>
      </c>
      <c r="O69">
        <v>112.29456899990301</v>
      </c>
      <c r="P69">
        <v>112.309875400038</v>
      </c>
      <c r="Q69">
        <v>113.31021720007899</v>
      </c>
      <c r="R69">
        <v>113.293500900035</v>
      </c>
      <c r="S69">
        <v>113.71118379989601</v>
      </c>
      <c r="T69">
        <v>0</v>
      </c>
      <c r="U69" t="s">
        <v>38</v>
      </c>
      <c r="V69">
        <v>0</v>
      </c>
      <c r="W69">
        <v>0.40949039999395598</v>
      </c>
      <c r="X69" t="s">
        <v>33</v>
      </c>
      <c r="Y69">
        <v>51741</v>
      </c>
      <c r="Z69">
        <v>1</v>
      </c>
      <c r="AA69" t="s">
        <v>34</v>
      </c>
      <c r="AB69" t="s">
        <v>35</v>
      </c>
      <c r="AD69" t="s">
        <v>36</v>
      </c>
      <c r="AE69">
        <v>59.990737387552898</v>
      </c>
      <c r="AF69" t="s">
        <v>37</v>
      </c>
    </row>
    <row r="70" spans="1:32" x14ac:dyDescent="0.3">
      <c r="A70">
        <v>68</v>
      </c>
      <c r="B70">
        <v>0</v>
      </c>
      <c r="C70">
        <v>68</v>
      </c>
      <c r="D70">
        <v>0</v>
      </c>
      <c r="E70" t="s">
        <v>32</v>
      </c>
      <c r="F70">
        <v>1</v>
      </c>
      <c r="G70">
        <v>0.29316919995471802</v>
      </c>
      <c r="H70" t="s">
        <v>33</v>
      </c>
      <c r="I70">
        <v>68</v>
      </c>
      <c r="J70">
        <v>0</v>
      </c>
      <c r="K70">
        <v>68</v>
      </c>
      <c r="L70">
        <v>0</v>
      </c>
      <c r="M70">
        <v>113.726470699999</v>
      </c>
      <c r="O70">
        <v>113.71165920002301</v>
      </c>
      <c r="P70">
        <v>113.726470699999</v>
      </c>
      <c r="Q70">
        <v>114.72623330005401</v>
      </c>
      <c r="R70">
        <v>114.72623330005401</v>
      </c>
      <c r="S70">
        <v>115.027778999879</v>
      </c>
      <c r="T70">
        <v>0</v>
      </c>
      <c r="U70" t="s">
        <v>32</v>
      </c>
      <c r="V70">
        <v>1</v>
      </c>
      <c r="W70">
        <v>0.29316919995471802</v>
      </c>
      <c r="X70" t="s">
        <v>33</v>
      </c>
      <c r="Y70">
        <v>51741</v>
      </c>
      <c r="Z70">
        <v>1</v>
      </c>
      <c r="AA70" t="s">
        <v>34</v>
      </c>
      <c r="AB70" t="s">
        <v>35</v>
      </c>
      <c r="AD70" t="s">
        <v>36</v>
      </c>
      <c r="AE70">
        <v>59.990737387552898</v>
      </c>
      <c r="AF70" t="s">
        <v>37</v>
      </c>
    </row>
    <row r="71" spans="1:32" x14ac:dyDescent="0.3">
      <c r="A71">
        <v>69</v>
      </c>
      <c r="B71">
        <v>0</v>
      </c>
      <c r="C71">
        <v>69</v>
      </c>
      <c r="D71">
        <v>3</v>
      </c>
      <c r="E71" t="s">
        <v>32</v>
      </c>
      <c r="F71">
        <v>0</v>
      </c>
      <c r="G71">
        <v>0.204607299994677</v>
      </c>
      <c r="H71" t="s">
        <v>33</v>
      </c>
      <c r="I71">
        <v>69</v>
      </c>
      <c r="J71">
        <v>0</v>
      </c>
      <c r="K71">
        <v>69</v>
      </c>
      <c r="L71">
        <v>0</v>
      </c>
      <c r="M71">
        <v>115.043287199921</v>
      </c>
      <c r="O71">
        <v>115.02856269991</v>
      </c>
      <c r="P71">
        <v>115.043287199921</v>
      </c>
      <c r="Q71">
        <v>116.043455000035</v>
      </c>
      <c r="R71">
        <v>116.043455000035</v>
      </c>
      <c r="S71">
        <v>116.260351700009</v>
      </c>
      <c r="T71">
        <v>3</v>
      </c>
      <c r="U71" t="s">
        <v>32</v>
      </c>
      <c r="V71">
        <v>0</v>
      </c>
      <c r="W71">
        <v>0.204607299994677</v>
      </c>
      <c r="X71" t="s">
        <v>33</v>
      </c>
      <c r="Y71">
        <v>51741</v>
      </c>
      <c r="Z71">
        <v>1</v>
      </c>
      <c r="AA71" t="s">
        <v>34</v>
      </c>
      <c r="AB71" t="s">
        <v>35</v>
      </c>
      <c r="AD71" t="s">
        <v>36</v>
      </c>
      <c r="AE71">
        <v>59.990737387552898</v>
      </c>
      <c r="AF71" t="s">
        <v>37</v>
      </c>
    </row>
    <row r="72" spans="1:32" x14ac:dyDescent="0.3">
      <c r="A72">
        <v>70</v>
      </c>
      <c r="B72">
        <v>0</v>
      </c>
      <c r="C72">
        <v>70</v>
      </c>
      <c r="D72">
        <v>0</v>
      </c>
      <c r="E72" t="s">
        <v>38</v>
      </c>
      <c r="F72">
        <v>0</v>
      </c>
      <c r="G72">
        <v>9.5695900032296694E-2</v>
      </c>
      <c r="H72" t="s">
        <v>33</v>
      </c>
      <c r="I72">
        <v>70</v>
      </c>
      <c r="J72">
        <v>0</v>
      </c>
      <c r="K72">
        <v>70</v>
      </c>
      <c r="L72">
        <v>0</v>
      </c>
      <c r="M72">
        <v>116.27596680005</v>
      </c>
      <c r="O72">
        <v>116.26087390002699</v>
      </c>
      <c r="P72">
        <v>116.27596680005</v>
      </c>
      <c r="Q72">
        <v>117.276552299968</v>
      </c>
      <c r="R72">
        <v>117.259748799959</v>
      </c>
      <c r="S72">
        <v>117.361055700108</v>
      </c>
      <c r="T72">
        <v>0</v>
      </c>
      <c r="U72" t="s">
        <v>38</v>
      </c>
      <c r="V72">
        <v>0</v>
      </c>
      <c r="W72">
        <v>9.5695900032296694E-2</v>
      </c>
      <c r="X72" t="s">
        <v>33</v>
      </c>
      <c r="Y72">
        <v>51741</v>
      </c>
      <c r="Z72">
        <v>1</v>
      </c>
      <c r="AA72" t="s">
        <v>34</v>
      </c>
      <c r="AB72" t="s">
        <v>35</v>
      </c>
      <c r="AD72" t="s">
        <v>36</v>
      </c>
      <c r="AE72">
        <v>59.990737387552898</v>
      </c>
      <c r="AF72" t="s">
        <v>37</v>
      </c>
    </row>
    <row r="73" spans="1:32" x14ac:dyDescent="0.3">
      <c r="A73">
        <v>71</v>
      </c>
      <c r="B73">
        <v>0</v>
      </c>
      <c r="C73">
        <v>71</v>
      </c>
      <c r="D73">
        <v>-2</v>
      </c>
      <c r="E73" t="s">
        <v>32</v>
      </c>
      <c r="F73">
        <v>0</v>
      </c>
      <c r="G73">
        <v>1.4099500142037801E-2</v>
      </c>
      <c r="H73" t="s">
        <v>33</v>
      </c>
      <c r="I73">
        <v>71</v>
      </c>
      <c r="J73">
        <v>0</v>
      </c>
      <c r="K73">
        <v>71</v>
      </c>
      <c r="L73">
        <v>0</v>
      </c>
      <c r="M73">
        <v>117.376355899963</v>
      </c>
      <c r="O73">
        <v>117.36160050006499</v>
      </c>
      <c r="P73">
        <v>117.376355899963</v>
      </c>
      <c r="Q73">
        <v>118.376686699921</v>
      </c>
      <c r="R73">
        <v>118.376686699921</v>
      </c>
      <c r="S73">
        <v>118.39432969991999</v>
      </c>
      <c r="T73">
        <v>-2</v>
      </c>
      <c r="U73" t="s">
        <v>32</v>
      </c>
      <c r="V73">
        <v>0</v>
      </c>
      <c r="W73">
        <v>1.4099500142037801E-2</v>
      </c>
      <c r="X73" t="s">
        <v>33</v>
      </c>
      <c r="Y73">
        <v>51741</v>
      </c>
      <c r="Z73">
        <v>1</v>
      </c>
      <c r="AA73" t="s">
        <v>34</v>
      </c>
      <c r="AB73" t="s">
        <v>35</v>
      </c>
      <c r="AD73" t="s">
        <v>36</v>
      </c>
      <c r="AE73">
        <v>59.990737387552898</v>
      </c>
      <c r="AF73" t="s">
        <v>37</v>
      </c>
    </row>
    <row r="74" spans="1:32" x14ac:dyDescent="0.3">
      <c r="A74">
        <v>72</v>
      </c>
      <c r="B74">
        <v>0</v>
      </c>
      <c r="C74">
        <v>72</v>
      </c>
      <c r="D74">
        <v>0</v>
      </c>
      <c r="E74" t="s">
        <v>32</v>
      </c>
      <c r="F74">
        <v>1</v>
      </c>
      <c r="G74">
        <v>0.218372399918735</v>
      </c>
      <c r="H74" t="s">
        <v>33</v>
      </c>
      <c r="I74">
        <v>72</v>
      </c>
      <c r="J74">
        <v>0</v>
      </c>
      <c r="K74">
        <v>72</v>
      </c>
      <c r="L74">
        <v>0</v>
      </c>
      <c r="M74">
        <v>118.40951670007701</v>
      </c>
      <c r="O74">
        <v>118.39500649995099</v>
      </c>
      <c r="P74">
        <v>118.40951670007701</v>
      </c>
      <c r="Q74">
        <v>119.40999919991</v>
      </c>
      <c r="R74">
        <v>119.40999919991</v>
      </c>
      <c r="S74">
        <v>119.64455759990901</v>
      </c>
      <c r="T74">
        <v>0</v>
      </c>
      <c r="U74" t="s">
        <v>32</v>
      </c>
      <c r="V74">
        <v>1</v>
      </c>
      <c r="W74">
        <v>0.218372399918735</v>
      </c>
      <c r="X74" t="s">
        <v>33</v>
      </c>
      <c r="Y74">
        <v>51741</v>
      </c>
      <c r="Z74">
        <v>1</v>
      </c>
      <c r="AA74" t="s">
        <v>34</v>
      </c>
      <c r="AB74" t="s">
        <v>35</v>
      </c>
      <c r="AD74" t="s">
        <v>36</v>
      </c>
      <c r="AE74">
        <v>59.990737387552898</v>
      </c>
      <c r="AF74" t="s">
        <v>37</v>
      </c>
    </row>
    <row r="75" spans="1:32" x14ac:dyDescent="0.3">
      <c r="A75">
        <v>73</v>
      </c>
      <c r="B75">
        <v>0</v>
      </c>
      <c r="C75">
        <v>73</v>
      </c>
      <c r="D75">
        <v>0</v>
      </c>
      <c r="E75" t="s">
        <v>38</v>
      </c>
      <c r="F75">
        <v>0</v>
      </c>
      <c r="G75">
        <v>0.30838609999045702</v>
      </c>
      <c r="H75" t="s">
        <v>33</v>
      </c>
      <c r="I75">
        <v>73</v>
      </c>
      <c r="J75">
        <v>0</v>
      </c>
      <c r="K75">
        <v>73</v>
      </c>
      <c r="L75">
        <v>0</v>
      </c>
      <c r="M75">
        <v>119.659673799993</v>
      </c>
      <c r="O75">
        <v>119.64514859998501</v>
      </c>
      <c r="P75">
        <v>119.659673799993</v>
      </c>
      <c r="Q75">
        <v>120.659791199956</v>
      </c>
      <c r="R75">
        <v>120.659791199956</v>
      </c>
      <c r="S75">
        <v>120.97738649998701</v>
      </c>
      <c r="T75">
        <v>0</v>
      </c>
      <c r="U75" t="s">
        <v>38</v>
      </c>
      <c r="V75">
        <v>0</v>
      </c>
      <c r="W75">
        <v>0.30838609999045702</v>
      </c>
      <c r="X75" t="s">
        <v>33</v>
      </c>
      <c r="Y75">
        <v>51741</v>
      </c>
      <c r="Z75">
        <v>1</v>
      </c>
      <c r="AA75" t="s">
        <v>34</v>
      </c>
      <c r="AB75" t="s">
        <v>35</v>
      </c>
      <c r="AD75" t="s">
        <v>36</v>
      </c>
      <c r="AE75">
        <v>59.990737387552898</v>
      </c>
      <c r="AF75" t="s">
        <v>37</v>
      </c>
    </row>
    <row r="76" spans="1:32" x14ac:dyDescent="0.3">
      <c r="A76">
        <v>74</v>
      </c>
      <c r="B76">
        <v>0</v>
      </c>
      <c r="C76">
        <v>74</v>
      </c>
      <c r="D76">
        <v>-3</v>
      </c>
      <c r="E76" t="s">
        <v>32</v>
      </c>
      <c r="F76">
        <v>0</v>
      </c>
      <c r="G76">
        <v>0.40728409984149</v>
      </c>
      <c r="H76" t="s">
        <v>33</v>
      </c>
      <c r="I76">
        <v>74</v>
      </c>
      <c r="J76">
        <v>0</v>
      </c>
      <c r="K76">
        <v>74</v>
      </c>
      <c r="L76">
        <v>0</v>
      </c>
      <c r="M76">
        <v>120.993115799967</v>
      </c>
      <c r="O76">
        <v>120.977917500073</v>
      </c>
      <c r="P76">
        <v>120.993115799967</v>
      </c>
      <c r="Q76">
        <v>121.993485199986</v>
      </c>
      <c r="R76">
        <v>121.993485199986</v>
      </c>
      <c r="S76">
        <v>122.41081260004999</v>
      </c>
      <c r="T76">
        <v>-3</v>
      </c>
      <c r="U76" t="s">
        <v>32</v>
      </c>
      <c r="V76">
        <v>0</v>
      </c>
      <c r="W76">
        <v>0.40728409984149</v>
      </c>
      <c r="X76" t="s">
        <v>33</v>
      </c>
      <c r="Y76">
        <v>51741</v>
      </c>
      <c r="Z76">
        <v>1</v>
      </c>
      <c r="AA76" t="s">
        <v>34</v>
      </c>
      <c r="AB76" t="s">
        <v>35</v>
      </c>
      <c r="AD76" t="s">
        <v>36</v>
      </c>
      <c r="AE76">
        <v>59.990737387552898</v>
      </c>
      <c r="AF76" t="s">
        <v>37</v>
      </c>
    </row>
    <row r="77" spans="1:32" x14ac:dyDescent="0.3">
      <c r="A77">
        <v>75</v>
      </c>
      <c r="B77">
        <v>0</v>
      </c>
      <c r="C77">
        <v>75</v>
      </c>
      <c r="D77">
        <v>0</v>
      </c>
      <c r="E77" t="s">
        <v>38</v>
      </c>
      <c r="F77">
        <v>0</v>
      </c>
      <c r="G77">
        <v>0.27357729990035201</v>
      </c>
      <c r="H77" t="s">
        <v>33</v>
      </c>
      <c r="I77">
        <v>75</v>
      </c>
      <c r="J77">
        <v>0</v>
      </c>
      <c r="K77">
        <v>75</v>
      </c>
      <c r="L77">
        <v>0</v>
      </c>
      <c r="M77">
        <v>122.42644619988199</v>
      </c>
      <c r="O77">
        <v>122.411263599991</v>
      </c>
      <c r="P77">
        <v>122.42644619988199</v>
      </c>
      <c r="Q77">
        <v>123.42658869992</v>
      </c>
      <c r="R77">
        <v>123.42658869992</v>
      </c>
      <c r="S77">
        <v>123.710996000096</v>
      </c>
      <c r="T77">
        <v>0</v>
      </c>
      <c r="U77" t="s">
        <v>38</v>
      </c>
      <c r="V77">
        <v>0</v>
      </c>
      <c r="W77">
        <v>0.27357729990035201</v>
      </c>
      <c r="X77" t="s">
        <v>33</v>
      </c>
      <c r="Y77">
        <v>51741</v>
      </c>
      <c r="Z77">
        <v>1</v>
      </c>
      <c r="AA77" t="s">
        <v>34</v>
      </c>
      <c r="AB77" t="s">
        <v>35</v>
      </c>
      <c r="AD77" t="s">
        <v>36</v>
      </c>
      <c r="AE77">
        <v>59.990737387552898</v>
      </c>
      <c r="AF77" t="s">
        <v>37</v>
      </c>
    </row>
    <row r="78" spans="1:32" x14ac:dyDescent="0.3">
      <c r="A78">
        <v>76</v>
      </c>
      <c r="B78">
        <v>0</v>
      </c>
      <c r="C78">
        <v>76</v>
      </c>
      <c r="D78">
        <v>-2</v>
      </c>
      <c r="E78" t="s">
        <v>32</v>
      </c>
      <c r="F78">
        <v>0</v>
      </c>
      <c r="G78">
        <v>0.38886169996112502</v>
      </c>
      <c r="H78" t="s">
        <v>33</v>
      </c>
      <c r="I78">
        <v>76</v>
      </c>
      <c r="J78">
        <v>0</v>
      </c>
      <c r="K78">
        <v>76</v>
      </c>
      <c r="L78">
        <v>0</v>
      </c>
      <c r="M78">
        <v>123.726017300039</v>
      </c>
      <c r="O78">
        <v>123.711688099894</v>
      </c>
      <c r="P78">
        <v>123.726017300039</v>
      </c>
      <c r="Q78">
        <v>124.726435899967</v>
      </c>
      <c r="R78">
        <v>124.726435899967</v>
      </c>
      <c r="S78">
        <v>125.12766009988199</v>
      </c>
      <c r="T78">
        <v>-2</v>
      </c>
      <c r="U78" t="s">
        <v>32</v>
      </c>
      <c r="V78">
        <v>0</v>
      </c>
      <c r="W78">
        <v>0.38886169996112502</v>
      </c>
      <c r="X78" t="s">
        <v>33</v>
      </c>
      <c r="Y78">
        <v>51741</v>
      </c>
      <c r="Z78">
        <v>1</v>
      </c>
      <c r="AA78" t="s">
        <v>34</v>
      </c>
      <c r="AB78" t="s">
        <v>35</v>
      </c>
      <c r="AD78" t="s">
        <v>36</v>
      </c>
      <c r="AE78">
        <v>59.990737387552898</v>
      </c>
      <c r="AF78" t="s">
        <v>37</v>
      </c>
    </row>
    <row r="79" spans="1:32" x14ac:dyDescent="0.3">
      <c r="A79">
        <v>77</v>
      </c>
      <c r="B79">
        <v>0</v>
      </c>
      <c r="C79">
        <v>77</v>
      </c>
      <c r="D79">
        <v>-3</v>
      </c>
      <c r="E79" t="s">
        <v>38</v>
      </c>
      <c r="F79">
        <v>1</v>
      </c>
      <c r="G79">
        <v>6.4349399879574706E-2</v>
      </c>
      <c r="H79" t="s">
        <v>33</v>
      </c>
      <c r="I79">
        <v>77</v>
      </c>
      <c r="J79">
        <v>0</v>
      </c>
      <c r="K79">
        <v>77</v>
      </c>
      <c r="L79">
        <v>0</v>
      </c>
      <c r="M79">
        <v>125.143239199882</v>
      </c>
      <c r="O79">
        <v>125.12837009993299</v>
      </c>
      <c r="P79">
        <v>125.143239199882</v>
      </c>
      <c r="Q79">
        <v>126.143427399918</v>
      </c>
      <c r="R79">
        <v>126.143427399918</v>
      </c>
      <c r="S79">
        <v>126.21093069994799</v>
      </c>
      <c r="T79">
        <v>-3</v>
      </c>
      <c r="U79" t="s">
        <v>38</v>
      </c>
      <c r="V79">
        <v>1</v>
      </c>
      <c r="W79">
        <v>6.4349399879574706E-2</v>
      </c>
      <c r="X79" t="s">
        <v>33</v>
      </c>
      <c r="Y79">
        <v>51741</v>
      </c>
      <c r="Z79">
        <v>1</v>
      </c>
      <c r="AA79" t="s">
        <v>34</v>
      </c>
      <c r="AB79" t="s">
        <v>35</v>
      </c>
      <c r="AD79" t="s">
        <v>36</v>
      </c>
      <c r="AE79">
        <v>59.990737387552898</v>
      </c>
      <c r="AF79" t="s">
        <v>37</v>
      </c>
    </row>
    <row r="80" spans="1:32" x14ac:dyDescent="0.3">
      <c r="A80">
        <v>78</v>
      </c>
      <c r="B80">
        <v>0</v>
      </c>
      <c r="C80">
        <v>78</v>
      </c>
      <c r="D80">
        <v>0</v>
      </c>
      <c r="E80" t="s">
        <v>32</v>
      </c>
      <c r="F80">
        <v>1</v>
      </c>
      <c r="G80">
        <v>0.15614930004812699</v>
      </c>
      <c r="H80" t="s">
        <v>33</v>
      </c>
      <c r="I80">
        <v>78</v>
      </c>
      <c r="J80">
        <v>0</v>
      </c>
      <c r="K80">
        <v>78</v>
      </c>
      <c r="L80">
        <v>0</v>
      </c>
      <c r="M80">
        <v>126.226196999894</v>
      </c>
      <c r="O80">
        <v>126.211475800024</v>
      </c>
      <c r="P80">
        <v>126.226196999894</v>
      </c>
      <c r="Q80">
        <v>127.226085900096</v>
      </c>
      <c r="R80">
        <v>127.226085900096</v>
      </c>
      <c r="S80">
        <v>127.394259999971</v>
      </c>
      <c r="T80">
        <v>0</v>
      </c>
      <c r="U80" t="s">
        <v>32</v>
      </c>
      <c r="V80">
        <v>1</v>
      </c>
      <c r="W80">
        <v>0.15614930004812699</v>
      </c>
      <c r="X80" t="s">
        <v>33</v>
      </c>
      <c r="Y80">
        <v>51741</v>
      </c>
      <c r="Z80">
        <v>1</v>
      </c>
      <c r="AA80" t="s">
        <v>34</v>
      </c>
      <c r="AB80" t="s">
        <v>35</v>
      </c>
      <c r="AD80" t="s">
        <v>36</v>
      </c>
      <c r="AE80">
        <v>59.990737387552898</v>
      </c>
      <c r="AF80" t="s">
        <v>37</v>
      </c>
    </row>
    <row r="81" spans="1:32" x14ac:dyDescent="0.3">
      <c r="A81">
        <v>79</v>
      </c>
      <c r="B81">
        <v>0</v>
      </c>
      <c r="C81">
        <v>79</v>
      </c>
      <c r="D81">
        <v>3</v>
      </c>
      <c r="E81" t="s">
        <v>32</v>
      </c>
      <c r="F81">
        <v>0</v>
      </c>
      <c r="G81">
        <v>1.93776670005172</v>
      </c>
      <c r="H81" t="s">
        <v>33</v>
      </c>
      <c r="I81">
        <v>79</v>
      </c>
      <c r="J81">
        <v>0</v>
      </c>
      <c r="K81">
        <v>79</v>
      </c>
      <c r="L81">
        <v>0</v>
      </c>
      <c r="M81">
        <v>127.409677800023</v>
      </c>
      <c r="O81">
        <v>127.394774100044</v>
      </c>
      <c r="P81">
        <v>127.409677800023</v>
      </c>
      <c r="Q81">
        <v>128.40996029996299</v>
      </c>
      <c r="R81">
        <v>128.40996029996299</v>
      </c>
      <c r="S81">
        <v>130.360125199891</v>
      </c>
      <c r="T81">
        <v>3</v>
      </c>
      <c r="U81" t="s">
        <v>32</v>
      </c>
      <c r="V81">
        <v>0</v>
      </c>
      <c r="W81">
        <v>1.93776670005172</v>
      </c>
      <c r="X81" t="s">
        <v>33</v>
      </c>
      <c r="Y81">
        <v>51741</v>
      </c>
      <c r="Z81">
        <v>1</v>
      </c>
      <c r="AA81" t="s">
        <v>34</v>
      </c>
      <c r="AB81" t="s">
        <v>35</v>
      </c>
      <c r="AD81" t="s">
        <v>36</v>
      </c>
      <c r="AE81">
        <v>59.990737387552898</v>
      </c>
      <c r="AF81" t="s">
        <v>37</v>
      </c>
    </row>
    <row r="82" spans="1:32" x14ac:dyDescent="0.3">
      <c r="A82">
        <v>80</v>
      </c>
      <c r="B82">
        <v>0</v>
      </c>
      <c r="C82">
        <v>80</v>
      </c>
      <c r="D82">
        <v>-5</v>
      </c>
      <c r="E82" t="s">
        <v>38</v>
      </c>
      <c r="F82">
        <v>1</v>
      </c>
      <c r="G82">
        <v>0.64376270002685398</v>
      </c>
      <c r="H82" t="s">
        <v>33</v>
      </c>
      <c r="I82">
        <v>80</v>
      </c>
      <c r="J82">
        <v>0</v>
      </c>
      <c r="K82">
        <v>80</v>
      </c>
      <c r="L82">
        <v>0</v>
      </c>
      <c r="M82">
        <v>130.376118300016</v>
      </c>
      <c r="O82">
        <v>130.36067020008301</v>
      </c>
      <c r="P82">
        <v>130.376118300016</v>
      </c>
      <c r="Q82">
        <v>131.375958800083</v>
      </c>
      <c r="R82">
        <v>131.35950020002201</v>
      </c>
      <c r="S82">
        <v>132.010506999911</v>
      </c>
      <c r="T82">
        <v>-5</v>
      </c>
      <c r="U82" t="s">
        <v>38</v>
      </c>
      <c r="V82">
        <v>1</v>
      </c>
      <c r="W82">
        <v>0.64376270002685398</v>
      </c>
      <c r="X82" t="s">
        <v>33</v>
      </c>
      <c r="Y82">
        <v>51741</v>
      </c>
      <c r="Z82">
        <v>1</v>
      </c>
      <c r="AA82" t="s">
        <v>34</v>
      </c>
      <c r="AB82" t="s">
        <v>35</v>
      </c>
      <c r="AD82" t="s">
        <v>36</v>
      </c>
      <c r="AE82">
        <v>59.990737387552898</v>
      </c>
      <c r="AF82" t="s">
        <v>37</v>
      </c>
    </row>
    <row r="83" spans="1:32" x14ac:dyDescent="0.3">
      <c r="A83">
        <v>81</v>
      </c>
      <c r="B83">
        <v>0</v>
      </c>
      <c r="C83">
        <v>81</v>
      </c>
      <c r="D83">
        <v>-3</v>
      </c>
      <c r="E83" t="s">
        <v>32</v>
      </c>
      <c r="F83">
        <v>0</v>
      </c>
      <c r="G83">
        <v>0.65427890000864797</v>
      </c>
      <c r="H83" t="s">
        <v>33</v>
      </c>
      <c r="I83">
        <v>81</v>
      </c>
      <c r="J83">
        <v>0</v>
      </c>
      <c r="K83">
        <v>81</v>
      </c>
      <c r="L83">
        <v>0</v>
      </c>
      <c r="M83">
        <v>132.026170599972</v>
      </c>
      <c r="O83">
        <v>132.01099430001301</v>
      </c>
      <c r="P83">
        <v>132.026170599972</v>
      </c>
      <c r="Q83">
        <v>133.02568889991301</v>
      </c>
      <c r="R83">
        <v>133.02568889991301</v>
      </c>
      <c r="S83">
        <v>133.69450789992601</v>
      </c>
      <c r="T83">
        <v>-3</v>
      </c>
      <c r="U83" t="s">
        <v>32</v>
      </c>
      <c r="V83">
        <v>0</v>
      </c>
      <c r="W83">
        <v>0.65427890000864797</v>
      </c>
      <c r="X83" t="s">
        <v>33</v>
      </c>
      <c r="Y83">
        <v>51741</v>
      </c>
      <c r="Z83">
        <v>1</v>
      </c>
      <c r="AA83" t="s">
        <v>34</v>
      </c>
      <c r="AB83" t="s">
        <v>35</v>
      </c>
      <c r="AD83" t="s">
        <v>36</v>
      </c>
      <c r="AE83">
        <v>59.990737387552898</v>
      </c>
      <c r="AF83" t="s">
        <v>37</v>
      </c>
    </row>
    <row r="84" spans="1:32" x14ac:dyDescent="0.3">
      <c r="A84">
        <v>82</v>
      </c>
      <c r="B84">
        <v>0</v>
      </c>
      <c r="C84">
        <v>82</v>
      </c>
      <c r="D84">
        <v>0</v>
      </c>
      <c r="E84" t="s">
        <v>38</v>
      </c>
      <c r="F84">
        <v>0</v>
      </c>
      <c r="G84">
        <v>0.266308299964293</v>
      </c>
      <c r="H84" t="s">
        <v>33</v>
      </c>
      <c r="I84">
        <v>82</v>
      </c>
      <c r="J84">
        <v>0</v>
      </c>
      <c r="K84">
        <v>82</v>
      </c>
      <c r="L84">
        <v>0</v>
      </c>
      <c r="M84">
        <v>133.70940760010799</v>
      </c>
      <c r="O84">
        <v>133.695021999999</v>
      </c>
      <c r="P84">
        <v>133.70940760010799</v>
      </c>
      <c r="Q84">
        <v>134.709874999942</v>
      </c>
      <c r="R84">
        <v>134.709874999942</v>
      </c>
      <c r="S84">
        <v>134.977552599972</v>
      </c>
      <c r="T84">
        <v>0</v>
      </c>
      <c r="U84" t="s">
        <v>38</v>
      </c>
      <c r="V84">
        <v>0</v>
      </c>
      <c r="W84">
        <v>0.266308299964293</v>
      </c>
      <c r="X84" t="s">
        <v>33</v>
      </c>
      <c r="Y84">
        <v>51741</v>
      </c>
      <c r="Z84">
        <v>1</v>
      </c>
      <c r="AA84" t="s">
        <v>34</v>
      </c>
      <c r="AB84" t="s">
        <v>35</v>
      </c>
      <c r="AD84" t="s">
        <v>36</v>
      </c>
      <c r="AE84">
        <v>59.990737387552898</v>
      </c>
      <c r="AF84" t="s">
        <v>37</v>
      </c>
    </row>
    <row r="85" spans="1:32" x14ac:dyDescent="0.3">
      <c r="A85">
        <v>83</v>
      </c>
      <c r="B85">
        <v>0</v>
      </c>
      <c r="C85">
        <v>83</v>
      </c>
      <c r="D85">
        <v>-2</v>
      </c>
      <c r="E85" t="s">
        <v>32</v>
      </c>
      <c r="F85">
        <v>0</v>
      </c>
      <c r="G85">
        <v>0.31410120008513298</v>
      </c>
      <c r="H85" t="s">
        <v>33</v>
      </c>
      <c r="I85">
        <v>83</v>
      </c>
      <c r="J85">
        <v>0</v>
      </c>
      <c r="K85">
        <v>83</v>
      </c>
      <c r="L85">
        <v>0</v>
      </c>
      <c r="M85">
        <v>134.99269340001001</v>
      </c>
      <c r="O85">
        <v>134.97817069990501</v>
      </c>
      <c r="P85">
        <v>134.99269340001001</v>
      </c>
      <c r="Q85">
        <v>135.99341130000499</v>
      </c>
      <c r="R85">
        <v>135.99341130000499</v>
      </c>
      <c r="S85">
        <v>136.31014929991201</v>
      </c>
      <c r="T85">
        <v>-2</v>
      </c>
      <c r="U85" t="s">
        <v>32</v>
      </c>
      <c r="V85">
        <v>0</v>
      </c>
      <c r="W85">
        <v>0.31410120008513298</v>
      </c>
      <c r="X85" t="s">
        <v>33</v>
      </c>
      <c r="Y85">
        <v>51741</v>
      </c>
      <c r="Z85">
        <v>1</v>
      </c>
      <c r="AA85" t="s">
        <v>34</v>
      </c>
      <c r="AB85" t="s">
        <v>35</v>
      </c>
      <c r="AD85" t="s">
        <v>36</v>
      </c>
      <c r="AE85">
        <v>59.990737387552898</v>
      </c>
      <c r="AF85" t="s">
        <v>37</v>
      </c>
    </row>
    <row r="86" spans="1:32" x14ac:dyDescent="0.3">
      <c r="A86">
        <v>84</v>
      </c>
      <c r="B86">
        <v>0</v>
      </c>
      <c r="C86">
        <v>84</v>
      </c>
      <c r="D86">
        <v>0</v>
      </c>
      <c r="E86" t="s">
        <v>38</v>
      </c>
      <c r="F86">
        <v>0</v>
      </c>
      <c r="G86">
        <v>0.33449209993705098</v>
      </c>
      <c r="H86" t="s">
        <v>33</v>
      </c>
      <c r="I86">
        <v>84</v>
      </c>
      <c r="J86">
        <v>0</v>
      </c>
      <c r="K86">
        <v>84</v>
      </c>
      <c r="L86">
        <v>0</v>
      </c>
      <c r="M86">
        <v>136.32575550000101</v>
      </c>
      <c r="O86">
        <v>136.31070520007</v>
      </c>
      <c r="P86">
        <v>136.32575550000101</v>
      </c>
      <c r="Q86">
        <v>137.32588650006801</v>
      </c>
      <c r="R86">
        <v>137.30946539994301</v>
      </c>
      <c r="S86">
        <v>137.660595099907</v>
      </c>
      <c r="T86">
        <v>0</v>
      </c>
      <c r="U86" t="s">
        <v>38</v>
      </c>
      <c r="V86">
        <v>0</v>
      </c>
      <c r="W86">
        <v>0.33449209993705098</v>
      </c>
      <c r="X86" t="s">
        <v>33</v>
      </c>
      <c r="Y86">
        <v>51741</v>
      </c>
      <c r="Z86">
        <v>1</v>
      </c>
      <c r="AA86" t="s">
        <v>34</v>
      </c>
      <c r="AB86" t="s">
        <v>35</v>
      </c>
      <c r="AD86" t="s">
        <v>36</v>
      </c>
      <c r="AE86">
        <v>59.990737387552898</v>
      </c>
      <c r="AF86" t="s">
        <v>37</v>
      </c>
    </row>
    <row r="87" spans="1:32" x14ac:dyDescent="0.3">
      <c r="A87">
        <v>85</v>
      </c>
      <c r="B87">
        <v>0</v>
      </c>
      <c r="C87">
        <v>85</v>
      </c>
      <c r="D87">
        <v>-5</v>
      </c>
      <c r="E87" t="s">
        <v>32</v>
      </c>
      <c r="F87">
        <v>0</v>
      </c>
      <c r="G87">
        <v>0.332058999920263</v>
      </c>
      <c r="H87" t="s">
        <v>33</v>
      </c>
      <c r="I87">
        <v>85</v>
      </c>
      <c r="J87">
        <v>0</v>
      </c>
      <c r="K87">
        <v>85</v>
      </c>
      <c r="L87">
        <v>0</v>
      </c>
      <c r="M87">
        <v>137.67607740010101</v>
      </c>
      <c r="O87">
        <v>137.661215800093</v>
      </c>
      <c r="P87">
        <v>137.67607740010101</v>
      </c>
      <c r="Q87">
        <v>138.67631349992001</v>
      </c>
      <c r="R87">
        <v>138.67631349992001</v>
      </c>
      <c r="S87">
        <v>139.01040500006599</v>
      </c>
      <c r="T87">
        <v>-5</v>
      </c>
      <c r="U87" t="s">
        <v>32</v>
      </c>
      <c r="V87">
        <v>0</v>
      </c>
      <c r="W87">
        <v>0.332058999920263</v>
      </c>
      <c r="X87" t="s">
        <v>33</v>
      </c>
      <c r="Y87">
        <v>51741</v>
      </c>
      <c r="Z87">
        <v>1</v>
      </c>
      <c r="AA87" t="s">
        <v>34</v>
      </c>
      <c r="AB87" t="s">
        <v>35</v>
      </c>
      <c r="AD87" t="s">
        <v>36</v>
      </c>
      <c r="AE87">
        <v>59.990737387552898</v>
      </c>
      <c r="AF87" t="s">
        <v>37</v>
      </c>
    </row>
    <row r="88" spans="1:32" x14ac:dyDescent="0.3">
      <c r="A88">
        <v>86</v>
      </c>
      <c r="B88">
        <v>0</v>
      </c>
      <c r="C88">
        <v>86</v>
      </c>
      <c r="D88">
        <v>-3</v>
      </c>
      <c r="E88" t="s">
        <v>32</v>
      </c>
      <c r="F88">
        <v>0</v>
      </c>
      <c r="G88">
        <v>1.1412476999685099</v>
      </c>
      <c r="H88" t="s">
        <v>33</v>
      </c>
      <c r="I88">
        <v>86</v>
      </c>
      <c r="J88">
        <v>0</v>
      </c>
      <c r="K88">
        <v>86</v>
      </c>
      <c r="L88">
        <v>0</v>
      </c>
      <c r="M88">
        <v>139.02611500001501</v>
      </c>
      <c r="O88">
        <v>139.011088500032</v>
      </c>
      <c r="P88">
        <v>139.02611500001501</v>
      </c>
      <c r="Q88">
        <v>140.02590840007099</v>
      </c>
      <c r="R88">
        <v>140.02590840007099</v>
      </c>
      <c r="S88">
        <v>141.17697519995201</v>
      </c>
      <c r="T88">
        <v>-3</v>
      </c>
      <c r="U88" t="s">
        <v>32</v>
      </c>
      <c r="V88">
        <v>0</v>
      </c>
      <c r="W88">
        <v>1.1412476999685099</v>
      </c>
      <c r="X88" t="s">
        <v>33</v>
      </c>
      <c r="Y88">
        <v>51741</v>
      </c>
      <c r="Z88">
        <v>1</v>
      </c>
      <c r="AA88" t="s">
        <v>34</v>
      </c>
      <c r="AB88" t="s">
        <v>35</v>
      </c>
      <c r="AD88" t="s">
        <v>36</v>
      </c>
      <c r="AE88">
        <v>59.990737387552898</v>
      </c>
      <c r="AF88" t="s">
        <v>37</v>
      </c>
    </row>
    <row r="89" spans="1:32" x14ac:dyDescent="0.3">
      <c r="A89">
        <v>87</v>
      </c>
      <c r="B89">
        <v>0</v>
      </c>
      <c r="C89">
        <v>87</v>
      </c>
      <c r="D89">
        <v>0</v>
      </c>
      <c r="E89" t="s">
        <v>32</v>
      </c>
      <c r="F89">
        <v>1</v>
      </c>
      <c r="G89">
        <v>0.41457490017637599</v>
      </c>
      <c r="H89" t="s">
        <v>33</v>
      </c>
      <c r="I89">
        <v>87</v>
      </c>
      <c r="J89">
        <v>0</v>
      </c>
      <c r="K89">
        <v>87</v>
      </c>
      <c r="L89">
        <v>0</v>
      </c>
      <c r="M89">
        <v>141.192787300096</v>
      </c>
      <c r="O89">
        <v>141.17745839990599</v>
      </c>
      <c r="P89">
        <v>141.192787300096</v>
      </c>
      <c r="Q89">
        <v>142.19302270002601</v>
      </c>
      <c r="R89">
        <v>142.17628469993301</v>
      </c>
      <c r="S89">
        <v>142.59375920007</v>
      </c>
      <c r="T89">
        <v>0</v>
      </c>
      <c r="U89" t="s">
        <v>32</v>
      </c>
      <c r="V89">
        <v>1</v>
      </c>
      <c r="W89">
        <v>0.41457490017637599</v>
      </c>
      <c r="X89" t="s">
        <v>33</v>
      </c>
      <c r="Y89">
        <v>51741</v>
      </c>
      <c r="Z89">
        <v>1</v>
      </c>
      <c r="AA89" t="s">
        <v>34</v>
      </c>
      <c r="AB89" t="s">
        <v>35</v>
      </c>
      <c r="AD89" t="s">
        <v>36</v>
      </c>
      <c r="AE89">
        <v>59.990737387552898</v>
      </c>
      <c r="AF89" t="s">
        <v>37</v>
      </c>
    </row>
    <row r="90" spans="1:32" x14ac:dyDescent="0.3">
      <c r="A90">
        <v>88</v>
      </c>
      <c r="B90">
        <v>0</v>
      </c>
      <c r="C90">
        <v>88</v>
      </c>
      <c r="D90">
        <v>0</v>
      </c>
      <c r="E90" t="s">
        <v>38</v>
      </c>
      <c r="F90">
        <v>0</v>
      </c>
      <c r="G90">
        <v>0.64252389990724601</v>
      </c>
      <c r="H90" t="s">
        <v>33</v>
      </c>
      <c r="I90">
        <v>88</v>
      </c>
      <c r="J90">
        <v>0</v>
      </c>
      <c r="K90">
        <v>88</v>
      </c>
      <c r="L90">
        <v>0</v>
      </c>
      <c r="M90">
        <v>142.609118399908</v>
      </c>
      <c r="O90">
        <v>142.59426799998599</v>
      </c>
      <c r="P90">
        <v>142.609118399908</v>
      </c>
      <c r="Q90">
        <v>143.60972220008199</v>
      </c>
      <c r="R90">
        <v>143.59299860009901</v>
      </c>
      <c r="S90">
        <v>144.24456740007699</v>
      </c>
      <c r="T90">
        <v>0</v>
      </c>
      <c r="U90" t="s">
        <v>38</v>
      </c>
      <c r="V90">
        <v>0</v>
      </c>
      <c r="W90">
        <v>0.64252389990724601</v>
      </c>
      <c r="X90" t="s">
        <v>33</v>
      </c>
      <c r="Y90">
        <v>51741</v>
      </c>
      <c r="Z90">
        <v>1</v>
      </c>
      <c r="AA90" t="s">
        <v>34</v>
      </c>
      <c r="AB90" t="s">
        <v>35</v>
      </c>
      <c r="AD90" t="s">
        <v>36</v>
      </c>
      <c r="AE90">
        <v>59.990737387552898</v>
      </c>
      <c r="AF90" t="s">
        <v>37</v>
      </c>
    </row>
    <row r="91" spans="1:32" x14ac:dyDescent="0.3">
      <c r="A91">
        <v>89</v>
      </c>
      <c r="B91">
        <v>0</v>
      </c>
      <c r="C91">
        <v>89</v>
      </c>
      <c r="D91">
        <v>0</v>
      </c>
      <c r="E91" t="s">
        <v>38</v>
      </c>
      <c r="F91">
        <v>0</v>
      </c>
      <c r="G91">
        <v>0.43355259997770101</v>
      </c>
      <c r="H91" t="s">
        <v>33</v>
      </c>
      <c r="I91">
        <v>89</v>
      </c>
      <c r="J91">
        <v>0</v>
      </c>
      <c r="K91">
        <v>89</v>
      </c>
      <c r="L91">
        <v>0</v>
      </c>
      <c r="M91">
        <v>144.25908629992</v>
      </c>
      <c r="O91">
        <v>144.24506639991799</v>
      </c>
      <c r="P91">
        <v>144.25908629992</v>
      </c>
      <c r="Q91">
        <v>145.258993200026</v>
      </c>
      <c r="R91">
        <v>145.258993200026</v>
      </c>
      <c r="S91">
        <v>145.69395989994501</v>
      </c>
      <c r="T91">
        <v>0</v>
      </c>
      <c r="U91" t="s">
        <v>38</v>
      </c>
      <c r="V91">
        <v>0</v>
      </c>
      <c r="W91">
        <v>0.43355259997770101</v>
      </c>
      <c r="X91" t="s">
        <v>33</v>
      </c>
      <c r="Y91">
        <v>51741</v>
      </c>
      <c r="Z91">
        <v>1</v>
      </c>
      <c r="AA91" t="s">
        <v>34</v>
      </c>
      <c r="AB91" t="s">
        <v>35</v>
      </c>
      <c r="AD91" t="s">
        <v>36</v>
      </c>
      <c r="AE91">
        <v>59.990737387552898</v>
      </c>
      <c r="AF91" t="s">
        <v>37</v>
      </c>
    </row>
    <row r="92" spans="1:32" x14ac:dyDescent="0.3">
      <c r="A92">
        <v>90</v>
      </c>
      <c r="B92">
        <v>0</v>
      </c>
      <c r="C92">
        <v>90</v>
      </c>
      <c r="D92">
        <v>-5</v>
      </c>
      <c r="E92" t="s">
        <v>38</v>
      </c>
      <c r="F92">
        <v>1</v>
      </c>
      <c r="G92">
        <v>0.32372660003602499</v>
      </c>
      <c r="H92" t="s">
        <v>33</v>
      </c>
      <c r="I92">
        <v>90</v>
      </c>
      <c r="J92">
        <v>0</v>
      </c>
      <c r="K92">
        <v>90</v>
      </c>
      <c r="L92">
        <v>0</v>
      </c>
      <c r="M92">
        <v>145.70910319988599</v>
      </c>
      <c r="O92">
        <v>145.694602000061</v>
      </c>
      <c r="P92">
        <v>145.70910319988599</v>
      </c>
      <c r="Q92">
        <v>146.70961809996501</v>
      </c>
      <c r="R92">
        <v>146.70961809996501</v>
      </c>
      <c r="S92">
        <v>147.04392919992</v>
      </c>
      <c r="T92">
        <v>-5</v>
      </c>
      <c r="U92" t="s">
        <v>38</v>
      </c>
      <c r="V92">
        <v>1</v>
      </c>
      <c r="W92">
        <v>0.32372660003602499</v>
      </c>
      <c r="X92" t="s">
        <v>33</v>
      </c>
      <c r="Y92">
        <v>51741</v>
      </c>
      <c r="Z92">
        <v>1</v>
      </c>
      <c r="AA92" t="s">
        <v>34</v>
      </c>
      <c r="AB92" t="s">
        <v>35</v>
      </c>
      <c r="AD92" t="s">
        <v>36</v>
      </c>
      <c r="AE92">
        <v>59.990737387552898</v>
      </c>
      <c r="AF92" t="s">
        <v>37</v>
      </c>
    </row>
    <row r="93" spans="1:32" x14ac:dyDescent="0.3">
      <c r="A93">
        <v>91</v>
      </c>
      <c r="B93">
        <v>0</v>
      </c>
      <c r="C93">
        <v>91</v>
      </c>
      <c r="D93">
        <v>0</v>
      </c>
      <c r="E93" t="s">
        <v>32</v>
      </c>
      <c r="F93">
        <v>1</v>
      </c>
      <c r="G93">
        <v>0.95823889994062394</v>
      </c>
      <c r="H93" t="s">
        <v>33</v>
      </c>
      <c r="I93">
        <v>91</v>
      </c>
      <c r="J93">
        <v>0</v>
      </c>
      <c r="K93">
        <v>91</v>
      </c>
      <c r="L93">
        <v>0</v>
      </c>
      <c r="M93">
        <v>147.059520199894</v>
      </c>
      <c r="O93">
        <v>147.044483399949</v>
      </c>
      <c r="P93">
        <v>147.059520199894</v>
      </c>
      <c r="Q93">
        <v>148.059481800068</v>
      </c>
      <c r="R93">
        <v>148.059481800068</v>
      </c>
      <c r="S93">
        <v>149.02698739990501</v>
      </c>
      <c r="T93">
        <v>0</v>
      </c>
      <c r="U93" t="s">
        <v>32</v>
      </c>
      <c r="V93">
        <v>1</v>
      </c>
      <c r="W93">
        <v>0.95823889994062394</v>
      </c>
      <c r="X93" t="s">
        <v>33</v>
      </c>
      <c r="Y93">
        <v>51741</v>
      </c>
      <c r="Z93">
        <v>1</v>
      </c>
      <c r="AA93" t="s">
        <v>34</v>
      </c>
      <c r="AB93" t="s">
        <v>35</v>
      </c>
      <c r="AD93" t="s">
        <v>36</v>
      </c>
      <c r="AE93">
        <v>59.990737387552898</v>
      </c>
      <c r="AF93" t="s">
        <v>37</v>
      </c>
    </row>
    <row r="94" spans="1:32" x14ac:dyDescent="0.3">
      <c r="A94">
        <v>92</v>
      </c>
      <c r="B94">
        <v>0</v>
      </c>
      <c r="C94">
        <v>92</v>
      </c>
      <c r="D94">
        <v>0</v>
      </c>
      <c r="E94" t="s">
        <v>32</v>
      </c>
      <c r="F94">
        <v>1</v>
      </c>
      <c r="G94">
        <v>0.42447580001316898</v>
      </c>
      <c r="H94" t="s">
        <v>33</v>
      </c>
      <c r="I94">
        <v>92</v>
      </c>
      <c r="J94">
        <v>0</v>
      </c>
      <c r="K94">
        <v>92</v>
      </c>
      <c r="L94">
        <v>0</v>
      </c>
      <c r="M94">
        <v>149.04262030008201</v>
      </c>
      <c r="O94">
        <v>149.02770130010299</v>
      </c>
      <c r="P94">
        <v>149.04262030008201</v>
      </c>
      <c r="Q94">
        <v>150.042184900026</v>
      </c>
      <c r="R94">
        <v>150.042184900026</v>
      </c>
      <c r="S94">
        <v>150.47648019995501</v>
      </c>
      <c r="T94">
        <v>0</v>
      </c>
      <c r="U94" t="s">
        <v>32</v>
      </c>
      <c r="V94">
        <v>1</v>
      </c>
      <c r="W94">
        <v>0.42447580001316898</v>
      </c>
      <c r="X94" t="s">
        <v>33</v>
      </c>
      <c r="Y94">
        <v>51741</v>
      </c>
      <c r="Z94">
        <v>1</v>
      </c>
      <c r="AA94" t="s">
        <v>34</v>
      </c>
      <c r="AB94" t="s">
        <v>35</v>
      </c>
      <c r="AD94" t="s">
        <v>36</v>
      </c>
      <c r="AE94">
        <v>59.990737387552898</v>
      </c>
      <c r="AF94" t="s">
        <v>37</v>
      </c>
    </row>
    <row r="95" spans="1:32" x14ac:dyDescent="0.3">
      <c r="A95">
        <v>93</v>
      </c>
      <c r="B95">
        <v>0</v>
      </c>
      <c r="C95">
        <v>93</v>
      </c>
      <c r="D95">
        <v>1</v>
      </c>
      <c r="E95" t="s">
        <v>38</v>
      </c>
      <c r="F95">
        <v>1</v>
      </c>
      <c r="G95">
        <v>0.26519419997930499</v>
      </c>
      <c r="H95" t="s">
        <v>33</v>
      </c>
      <c r="I95">
        <v>93</v>
      </c>
      <c r="J95">
        <v>0</v>
      </c>
      <c r="K95">
        <v>93</v>
      </c>
      <c r="L95">
        <v>0</v>
      </c>
      <c r="M95">
        <v>150.49212269997199</v>
      </c>
      <c r="O95">
        <v>150.47699870006099</v>
      </c>
      <c r="P95">
        <v>150.49212269997199</v>
      </c>
      <c r="Q95">
        <v>151.492816099897</v>
      </c>
      <c r="R95">
        <v>151.47614490007899</v>
      </c>
      <c r="S95">
        <v>151.744369599968</v>
      </c>
      <c r="T95">
        <v>1</v>
      </c>
      <c r="U95" t="s">
        <v>38</v>
      </c>
      <c r="V95">
        <v>1</v>
      </c>
      <c r="W95">
        <v>0.26519419997930499</v>
      </c>
      <c r="X95" t="s">
        <v>33</v>
      </c>
      <c r="Y95">
        <v>51741</v>
      </c>
      <c r="Z95">
        <v>1</v>
      </c>
      <c r="AA95" t="s">
        <v>34</v>
      </c>
      <c r="AB95" t="s">
        <v>35</v>
      </c>
      <c r="AD95" t="s">
        <v>36</v>
      </c>
      <c r="AE95">
        <v>59.990737387552898</v>
      </c>
      <c r="AF95" t="s">
        <v>37</v>
      </c>
    </row>
    <row r="96" spans="1:32" x14ac:dyDescent="0.3">
      <c r="A96">
        <v>94</v>
      </c>
      <c r="B96">
        <v>0</v>
      </c>
      <c r="C96">
        <v>94</v>
      </c>
      <c r="D96">
        <v>3</v>
      </c>
      <c r="E96" t="s">
        <v>32</v>
      </c>
      <c r="F96">
        <v>0</v>
      </c>
      <c r="G96">
        <v>0.57760479999706105</v>
      </c>
      <c r="H96" t="s">
        <v>33</v>
      </c>
      <c r="I96">
        <v>94</v>
      </c>
      <c r="J96">
        <v>0</v>
      </c>
      <c r="K96">
        <v>94</v>
      </c>
      <c r="L96">
        <v>0</v>
      </c>
      <c r="M96">
        <v>151.75901119993</v>
      </c>
      <c r="O96">
        <v>151.74541720002799</v>
      </c>
      <c r="P96">
        <v>151.75901119993</v>
      </c>
      <c r="Q96">
        <v>152.759841700084</v>
      </c>
      <c r="R96">
        <v>152.759841700084</v>
      </c>
      <c r="S96">
        <v>153.344092899933</v>
      </c>
      <c r="T96">
        <v>3</v>
      </c>
      <c r="U96" t="s">
        <v>32</v>
      </c>
      <c r="V96">
        <v>0</v>
      </c>
      <c r="W96">
        <v>0.57760479999706105</v>
      </c>
      <c r="X96" t="s">
        <v>33</v>
      </c>
      <c r="Y96">
        <v>51741</v>
      </c>
      <c r="Z96">
        <v>1</v>
      </c>
      <c r="AA96" t="s">
        <v>34</v>
      </c>
      <c r="AB96" t="s">
        <v>35</v>
      </c>
      <c r="AD96" t="s">
        <v>36</v>
      </c>
      <c r="AE96">
        <v>59.990737387552898</v>
      </c>
      <c r="AF96" t="s">
        <v>37</v>
      </c>
    </row>
    <row r="97" spans="1:32" x14ac:dyDescent="0.3">
      <c r="A97">
        <v>95</v>
      </c>
      <c r="B97">
        <v>0</v>
      </c>
      <c r="C97">
        <v>95</v>
      </c>
      <c r="D97">
        <v>2</v>
      </c>
      <c r="E97" t="s">
        <v>38</v>
      </c>
      <c r="F97">
        <v>1</v>
      </c>
      <c r="G97">
        <v>0.58241739985533003</v>
      </c>
      <c r="H97" t="s">
        <v>33</v>
      </c>
      <c r="I97">
        <v>95</v>
      </c>
      <c r="J97">
        <v>0</v>
      </c>
      <c r="K97">
        <v>95</v>
      </c>
      <c r="L97">
        <v>0</v>
      </c>
      <c r="M97">
        <v>153.35911140008801</v>
      </c>
      <c r="O97">
        <v>153.34473640005999</v>
      </c>
      <c r="P97">
        <v>153.35911140008801</v>
      </c>
      <c r="Q97">
        <v>154.359301900025</v>
      </c>
      <c r="R97">
        <v>154.359301900025</v>
      </c>
      <c r="S97">
        <v>154.943423999939</v>
      </c>
      <c r="T97">
        <v>2</v>
      </c>
      <c r="U97" t="s">
        <v>38</v>
      </c>
      <c r="V97">
        <v>1</v>
      </c>
      <c r="W97">
        <v>0.58241739985533003</v>
      </c>
      <c r="X97" t="s">
        <v>33</v>
      </c>
      <c r="Y97">
        <v>51741</v>
      </c>
      <c r="Z97">
        <v>1</v>
      </c>
      <c r="AA97" t="s">
        <v>34</v>
      </c>
      <c r="AB97" t="s">
        <v>35</v>
      </c>
      <c r="AD97" t="s">
        <v>36</v>
      </c>
      <c r="AE97">
        <v>59.990737387552898</v>
      </c>
      <c r="AF97" t="s">
        <v>37</v>
      </c>
    </row>
    <row r="98" spans="1:32" x14ac:dyDescent="0.3">
      <c r="A98">
        <v>96</v>
      </c>
      <c r="B98">
        <v>0</v>
      </c>
      <c r="C98">
        <v>96</v>
      </c>
      <c r="D98">
        <v>3</v>
      </c>
      <c r="E98" t="s">
        <v>38</v>
      </c>
      <c r="F98">
        <v>1</v>
      </c>
      <c r="G98">
        <v>0.16780000017024499</v>
      </c>
      <c r="H98" t="s">
        <v>33</v>
      </c>
      <c r="I98">
        <v>96</v>
      </c>
      <c r="J98">
        <v>0</v>
      </c>
      <c r="K98">
        <v>96</v>
      </c>
      <c r="L98">
        <v>0</v>
      </c>
      <c r="M98">
        <v>154.95905840001001</v>
      </c>
      <c r="O98">
        <v>154.943974700057</v>
      </c>
      <c r="P98">
        <v>154.95905840001001</v>
      </c>
      <c r="Q98">
        <v>155.95897720009</v>
      </c>
      <c r="R98">
        <v>155.95897720009</v>
      </c>
      <c r="S98">
        <v>156.128212099894</v>
      </c>
      <c r="T98">
        <v>3</v>
      </c>
      <c r="U98" t="s">
        <v>38</v>
      </c>
      <c r="V98">
        <v>1</v>
      </c>
      <c r="W98">
        <v>0.16780000017024499</v>
      </c>
      <c r="X98" t="s">
        <v>33</v>
      </c>
      <c r="Y98">
        <v>51741</v>
      </c>
      <c r="Z98">
        <v>1</v>
      </c>
      <c r="AA98" t="s">
        <v>34</v>
      </c>
      <c r="AB98" t="s">
        <v>35</v>
      </c>
      <c r="AD98" t="s">
        <v>36</v>
      </c>
      <c r="AE98">
        <v>59.990737387552898</v>
      </c>
      <c r="AF98" t="s">
        <v>37</v>
      </c>
    </row>
    <row r="99" spans="1:32" x14ac:dyDescent="0.3">
      <c r="A99">
        <v>97</v>
      </c>
      <c r="B99">
        <v>0</v>
      </c>
      <c r="C99">
        <v>97</v>
      </c>
      <c r="D99">
        <v>0</v>
      </c>
      <c r="E99" t="s">
        <v>32</v>
      </c>
      <c r="F99">
        <v>1</v>
      </c>
      <c r="G99">
        <v>0.38030979991890401</v>
      </c>
      <c r="H99" t="s">
        <v>33</v>
      </c>
      <c r="I99">
        <v>97</v>
      </c>
      <c r="J99">
        <v>0</v>
      </c>
      <c r="K99">
        <v>97</v>
      </c>
      <c r="L99">
        <v>0</v>
      </c>
      <c r="M99">
        <v>156.14242410007799</v>
      </c>
      <c r="O99">
        <v>156.12881430005601</v>
      </c>
      <c r="P99">
        <v>156.14242410007799</v>
      </c>
      <c r="Q99">
        <v>157.142761999974</v>
      </c>
      <c r="R99">
        <v>157.142761999974</v>
      </c>
      <c r="S99">
        <v>157.52659690007499</v>
      </c>
      <c r="T99">
        <v>0</v>
      </c>
      <c r="U99" t="s">
        <v>32</v>
      </c>
      <c r="V99">
        <v>1</v>
      </c>
      <c r="W99">
        <v>0.38030979991890401</v>
      </c>
      <c r="X99" t="s">
        <v>33</v>
      </c>
      <c r="Y99">
        <v>51741</v>
      </c>
      <c r="Z99">
        <v>1</v>
      </c>
      <c r="AA99" t="s">
        <v>34</v>
      </c>
      <c r="AB99" t="s">
        <v>35</v>
      </c>
      <c r="AD99" t="s">
        <v>36</v>
      </c>
      <c r="AE99">
        <v>59.990737387552898</v>
      </c>
      <c r="AF99" t="s">
        <v>37</v>
      </c>
    </row>
    <row r="100" spans="1:32" x14ac:dyDescent="0.3">
      <c r="A100">
        <v>98</v>
      </c>
      <c r="B100">
        <v>0</v>
      </c>
      <c r="C100">
        <v>98</v>
      </c>
      <c r="D100">
        <v>3</v>
      </c>
      <c r="E100" t="s">
        <v>38</v>
      </c>
      <c r="F100">
        <v>1</v>
      </c>
      <c r="G100">
        <v>0.28087349981069498</v>
      </c>
      <c r="H100" t="s">
        <v>33</v>
      </c>
      <c r="I100">
        <v>98</v>
      </c>
      <c r="J100">
        <v>0</v>
      </c>
      <c r="K100">
        <v>98</v>
      </c>
      <c r="L100">
        <v>0</v>
      </c>
      <c r="M100">
        <v>157.54232289991299</v>
      </c>
      <c r="O100">
        <v>157.527296300046</v>
      </c>
      <c r="P100">
        <v>157.54232289991299</v>
      </c>
      <c r="Q100">
        <v>158.54268239997299</v>
      </c>
      <c r="R100">
        <v>158.52642020000999</v>
      </c>
      <c r="S100">
        <v>158.810531700029</v>
      </c>
      <c r="T100">
        <v>3</v>
      </c>
      <c r="U100" t="s">
        <v>38</v>
      </c>
      <c r="V100">
        <v>1</v>
      </c>
      <c r="W100">
        <v>0.28087349981069498</v>
      </c>
      <c r="X100" t="s">
        <v>33</v>
      </c>
      <c r="Y100">
        <v>51741</v>
      </c>
      <c r="Z100">
        <v>1</v>
      </c>
      <c r="AA100" t="s">
        <v>34</v>
      </c>
      <c r="AB100" t="s">
        <v>35</v>
      </c>
      <c r="AD100" t="s">
        <v>36</v>
      </c>
      <c r="AE100">
        <v>59.990737387552898</v>
      </c>
      <c r="AF100" t="s">
        <v>37</v>
      </c>
    </row>
    <row r="101" spans="1:32" x14ac:dyDescent="0.3">
      <c r="A101">
        <v>99</v>
      </c>
      <c r="B101">
        <v>0</v>
      </c>
      <c r="C101">
        <v>99</v>
      </c>
      <c r="D101">
        <v>0</v>
      </c>
      <c r="E101" t="s">
        <v>38</v>
      </c>
      <c r="F101">
        <v>0</v>
      </c>
      <c r="G101">
        <v>0.57741479994729095</v>
      </c>
      <c r="H101" t="s">
        <v>33</v>
      </c>
      <c r="I101">
        <v>99</v>
      </c>
      <c r="J101">
        <v>0</v>
      </c>
      <c r="K101">
        <v>99</v>
      </c>
      <c r="L101">
        <v>0</v>
      </c>
      <c r="M101">
        <v>158.82555949990601</v>
      </c>
      <c r="O101">
        <v>158.81109569989999</v>
      </c>
      <c r="P101">
        <v>158.82555949990601</v>
      </c>
      <c r="Q101">
        <v>159.825999200111</v>
      </c>
      <c r="R101">
        <v>159.825999200111</v>
      </c>
      <c r="S101">
        <v>160.41037550009699</v>
      </c>
      <c r="T101">
        <v>0</v>
      </c>
      <c r="U101" t="s">
        <v>38</v>
      </c>
      <c r="V101">
        <v>0</v>
      </c>
      <c r="W101">
        <v>0.57741479994729095</v>
      </c>
      <c r="X101" t="s">
        <v>33</v>
      </c>
      <c r="Y101">
        <v>51741</v>
      </c>
      <c r="Z101">
        <v>1</v>
      </c>
      <c r="AA101" t="s">
        <v>34</v>
      </c>
      <c r="AB101" t="s">
        <v>35</v>
      </c>
      <c r="AD101" t="s">
        <v>36</v>
      </c>
      <c r="AE101">
        <v>59.990737387552898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0EA5-A57B-4B4A-B02B-833F715D4C0C}">
  <dimension ref="A1:U103"/>
  <sheetViews>
    <sheetView tabSelected="1" topLeftCell="B11" workbookViewId="0">
      <selection activeCell="Q23" sqref="Q23"/>
    </sheetView>
  </sheetViews>
  <sheetFormatPr defaultRowHeight="14.4" x14ac:dyDescent="0.3"/>
  <cols>
    <col min="2" max="2" width="12.21875" customWidth="1"/>
    <col min="3" max="3" width="11.77734375" customWidth="1"/>
    <col min="14" max="14" width="14.88671875" customWidth="1"/>
    <col min="15" max="15" width="13.109375" customWidth="1"/>
  </cols>
  <sheetData>
    <row r="1" spans="1:21" x14ac:dyDescent="0.3">
      <c r="A1" s="1" t="s">
        <v>55</v>
      </c>
      <c r="B1" s="1" t="s">
        <v>4</v>
      </c>
      <c r="C1" s="1" t="s">
        <v>5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21" x14ac:dyDescent="0.3">
      <c r="A2">
        <v>0</v>
      </c>
      <c r="B2" t="s">
        <v>32</v>
      </c>
      <c r="C2">
        <v>1</v>
      </c>
      <c r="E2">
        <v>1</v>
      </c>
    </row>
    <row r="3" spans="1:21" x14ac:dyDescent="0.3">
      <c r="A3">
        <v>0</v>
      </c>
      <c r="B3" t="s">
        <v>32</v>
      </c>
      <c r="C3">
        <v>1</v>
      </c>
      <c r="E3">
        <v>1</v>
      </c>
    </row>
    <row r="4" spans="1:21" x14ac:dyDescent="0.3">
      <c r="A4">
        <v>0</v>
      </c>
      <c r="B4" t="s">
        <v>38</v>
      </c>
      <c r="C4">
        <v>0</v>
      </c>
      <c r="F4">
        <v>1</v>
      </c>
    </row>
    <row r="5" spans="1:21" x14ac:dyDescent="0.3">
      <c r="A5">
        <v>2</v>
      </c>
      <c r="B5" t="s">
        <v>38</v>
      </c>
      <c r="C5">
        <v>1</v>
      </c>
      <c r="H5">
        <v>1</v>
      </c>
    </row>
    <row r="6" spans="1:21" x14ac:dyDescent="0.3">
      <c r="A6">
        <v>0</v>
      </c>
      <c r="B6" t="s">
        <v>32</v>
      </c>
      <c r="C6">
        <v>1</v>
      </c>
      <c r="E6">
        <v>1</v>
      </c>
    </row>
    <row r="7" spans="1:21" x14ac:dyDescent="0.3">
      <c r="A7">
        <v>0</v>
      </c>
      <c r="B7" t="s">
        <v>38</v>
      </c>
      <c r="C7">
        <v>0</v>
      </c>
      <c r="F7">
        <v>1</v>
      </c>
    </row>
    <row r="8" spans="1:21" x14ac:dyDescent="0.3">
      <c r="A8">
        <v>2</v>
      </c>
      <c r="B8" t="s">
        <v>32</v>
      </c>
      <c r="C8">
        <v>0</v>
      </c>
      <c r="G8">
        <v>1</v>
      </c>
    </row>
    <row r="9" spans="1:21" x14ac:dyDescent="0.3">
      <c r="A9">
        <v>-4</v>
      </c>
      <c r="B9" t="s">
        <v>38</v>
      </c>
      <c r="C9">
        <v>1</v>
      </c>
      <c r="H9">
        <v>1</v>
      </c>
    </row>
    <row r="10" spans="1:21" x14ac:dyDescent="0.3">
      <c r="A10">
        <v>-4</v>
      </c>
      <c r="B10" t="s">
        <v>38</v>
      </c>
      <c r="C10">
        <v>1</v>
      </c>
      <c r="H10">
        <v>1</v>
      </c>
    </row>
    <row r="11" spans="1:21" x14ac:dyDescent="0.3">
      <c r="A11">
        <v>0</v>
      </c>
      <c r="B11" t="s">
        <v>38</v>
      </c>
      <c r="C11">
        <v>0</v>
      </c>
      <c r="F11">
        <v>1</v>
      </c>
      <c r="O11" t="s">
        <v>43</v>
      </c>
      <c r="P11" t="s">
        <v>44</v>
      </c>
      <c r="R11" t="s">
        <v>45</v>
      </c>
      <c r="U11">
        <f>O17/(O17+P17)</f>
        <v>0.43902439024390244</v>
      </c>
    </row>
    <row r="12" spans="1:21" x14ac:dyDescent="0.3">
      <c r="A12">
        <v>-3</v>
      </c>
      <c r="B12" t="s">
        <v>38</v>
      </c>
      <c r="C12">
        <v>1</v>
      </c>
      <c r="H12">
        <v>1</v>
      </c>
      <c r="M12">
        <v>0</v>
      </c>
      <c r="N12" t="s">
        <v>46</v>
      </c>
      <c r="O12" t="s">
        <v>47</v>
      </c>
      <c r="P12" t="s">
        <v>48</v>
      </c>
      <c r="R12" t="s">
        <v>49</v>
      </c>
      <c r="U12">
        <f>O18/(O18+P18)</f>
        <v>0.5178571428571429</v>
      </c>
    </row>
    <row r="13" spans="1:21" x14ac:dyDescent="0.3">
      <c r="A13">
        <v>3</v>
      </c>
      <c r="B13" t="s">
        <v>32</v>
      </c>
      <c r="C13">
        <v>0</v>
      </c>
      <c r="G13">
        <v>1</v>
      </c>
      <c r="M13">
        <v>1</v>
      </c>
      <c r="N13" t="s">
        <v>50</v>
      </c>
      <c r="O13" t="s">
        <v>51</v>
      </c>
      <c r="P13" t="s">
        <v>52</v>
      </c>
    </row>
    <row r="14" spans="1:21" x14ac:dyDescent="0.3">
      <c r="A14">
        <v>3</v>
      </c>
      <c r="B14" t="s">
        <v>38</v>
      </c>
      <c r="C14">
        <v>1</v>
      </c>
      <c r="H14">
        <v>1</v>
      </c>
    </row>
    <row r="15" spans="1:21" x14ac:dyDescent="0.3">
      <c r="A15">
        <v>-2</v>
      </c>
      <c r="B15" t="s">
        <v>38</v>
      </c>
      <c r="C15">
        <v>1</v>
      </c>
      <c r="H15">
        <v>1</v>
      </c>
      <c r="R15" t="s">
        <v>53</v>
      </c>
      <c r="U15">
        <f>NORMSINV(U11)-NORMSINV(U12)</f>
        <v>-0.19821937551885072</v>
      </c>
    </row>
    <row r="16" spans="1:21" x14ac:dyDescent="0.3">
      <c r="A16">
        <v>-5</v>
      </c>
      <c r="B16" t="s">
        <v>32</v>
      </c>
      <c r="C16">
        <v>0</v>
      </c>
      <c r="G16">
        <v>1</v>
      </c>
      <c r="O16" t="s">
        <v>43</v>
      </c>
      <c r="P16" t="s">
        <v>44</v>
      </c>
      <c r="R16" t="s">
        <v>54</v>
      </c>
      <c r="U16">
        <f>-NORMSINV(U11)+NORMSINV(U12)/2</f>
        <v>0.1758312871710925</v>
      </c>
    </row>
    <row r="17" spans="1:16" x14ac:dyDescent="0.3">
      <c r="A17">
        <v>0</v>
      </c>
      <c r="B17" t="s">
        <v>38</v>
      </c>
      <c r="C17">
        <v>0</v>
      </c>
      <c r="F17">
        <v>1</v>
      </c>
      <c r="N17" t="s">
        <v>46</v>
      </c>
      <c r="O17">
        <v>18</v>
      </c>
      <c r="P17">
        <v>23</v>
      </c>
    </row>
    <row r="18" spans="1:16" x14ac:dyDescent="0.3">
      <c r="A18">
        <v>-3</v>
      </c>
      <c r="B18" t="s">
        <v>38</v>
      </c>
      <c r="C18">
        <v>1</v>
      </c>
      <c r="H18">
        <v>1</v>
      </c>
      <c r="N18" t="s">
        <v>50</v>
      </c>
      <c r="O18">
        <v>29</v>
      </c>
      <c r="P18">
        <v>27</v>
      </c>
    </row>
    <row r="19" spans="1:16" x14ac:dyDescent="0.3">
      <c r="A19">
        <v>0</v>
      </c>
      <c r="B19" t="s">
        <v>32</v>
      </c>
      <c r="C19">
        <v>1</v>
      </c>
      <c r="E19">
        <v>1</v>
      </c>
    </row>
    <row r="20" spans="1:16" x14ac:dyDescent="0.3">
      <c r="A20">
        <v>0</v>
      </c>
      <c r="B20" t="s">
        <v>32</v>
      </c>
      <c r="C20">
        <v>1</v>
      </c>
      <c r="E20">
        <v>1</v>
      </c>
    </row>
    <row r="21" spans="1:16" x14ac:dyDescent="0.3">
      <c r="A21">
        <v>-4</v>
      </c>
      <c r="B21" t="s">
        <v>32</v>
      </c>
      <c r="C21">
        <v>0</v>
      </c>
      <c r="G21">
        <v>1</v>
      </c>
      <c r="N21" t="s">
        <v>56</v>
      </c>
    </row>
    <row r="22" spans="1:16" x14ac:dyDescent="0.3">
      <c r="A22">
        <v>4</v>
      </c>
      <c r="B22" t="s">
        <v>38</v>
      </c>
      <c r="C22">
        <v>1</v>
      </c>
      <c r="H22">
        <v>1</v>
      </c>
      <c r="N22" t="s">
        <v>57</v>
      </c>
    </row>
    <row r="23" spans="1:16" x14ac:dyDescent="0.3">
      <c r="A23">
        <v>0</v>
      </c>
      <c r="B23" t="s">
        <v>32</v>
      </c>
      <c r="C23">
        <v>1</v>
      </c>
      <c r="E23">
        <v>1</v>
      </c>
      <c r="N23" t="s">
        <v>58</v>
      </c>
    </row>
    <row r="24" spans="1:16" x14ac:dyDescent="0.3">
      <c r="A24">
        <v>3</v>
      </c>
      <c r="B24" t="s">
        <v>38</v>
      </c>
      <c r="C24">
        <v>1</v>
      </c>
      <c r="H24">
        <v>1</v>
      </c>
      <c r="N24" t="s">
        <v>59</v>
      </c>
    </row>
    <row r="25" spans="1:16" x14ac:dyDescent="0.3">
      <c r="A25">
        <v>-2</v>
      </c>
      <c r="B25" t="s">
        <v>38</v>
      </c>
      <c r="C25">
        <v>1</v>
      </c>
      <c r="H25">
        <v>1</v>
      </c>
    </row>
    <row r="26" spans="1:16" x14ac:dyDescent="0.3">
      <c r="A26">
        <v>0</v>
      </c>
      <c r="B26" t="s">
        <v>32</v>
      </c>
      <c r="C26">
        <v>1</v>
      </c>
      <c r="E26">
        <v>1</v>
      </c>
    </row>
    <row r="27" spans="1:16" x14ac:dyDescent="0.3">
      <c r="A27">
        <v>3</v>
      </c>
      <c r="B27" t="s">
        <v>38</v>
      </c>
      <c r="C27">
        <v>1</v>
      </c>
      <c r="H27">
        <v>1</v>
      </c>
    </row>
    <row r="28" spans="1:16" x14ac:dyDescent="0.3">
      <c r="A28">
        <v>-5</v>
      </c>
      <c r="B28" t="s">
        <v>38</v>
      </c>
      <c r="C28">
        <v>1</v>
      </c>
      <c r="H28">
        <v>1</v>
      </c>
    </row>
    <row r="29" spans="1:16" x14ac:dyDescent="0.3">
      <c r="A29">
        <v>0</v>
      </c>
      <c r="B29" t="s">
        <v>32</v>
      </c>
      <c r="C29">
        <v>1</v>
      </c>
      <c r="E29">
        <v>1</v>
      </c>
    </row>
    <row r="30" spans="1:16" x14ac:dyDescent="0.3">
      <c r="A30">
        <v>0</v>
      </c>
      <c r="B30" t="s">
        <v>32</v>
      </c>
      <c r="C30">
        <v>1</v>
      </c>
      <c r="E30">
        <v>1</v>
      </c>
    </row>
    <row r="31" spans="1:16" x14ac:dyDescent="0.3">
      <c r="A31">
        <v>0</v>
      </c>
      <c r="B31" t="s">
        <v>32</v>
      </c>
      <c r="C31">
        <v>1</v>
      </c>
      <c r="E31">
        <v>1</v>
      </c>
    </row>
    <row r="32" spans="1:16" x14ac:dyDescent="0.3">
      <c r="A32">
        <v>4</v>
      </c>
      <c r="B32" t="s">
        <v>38</v>
      </c>
      <c r="C32">
        <v>1</v>
      </c>
      <c r="H32">
        <v>1</v>
      </c>
    </row>
    <row r="33" spans="1:8" x14ac:dyDescent="0.3">
      <c r="A33">
        <v>0</v>
      </c>
      <c r="B33" t="s">
        <v>38</v>
      </c>
      <c r="C33">
        <v>0</v>
      </c>
      <c r="F33">
        <v>1</v>
      </c>
    </row>
    <row r="34" spans="1:8" x14ac:dyDescent="0.3">
      <c r="A34">
        <v>3</v>
      </c>
      <c r="B34" t="s">
        <v>38</v>
      </c>
      <c r="C34">
        <v>1</v>
      </c>
      <c r="H34">
        <v>1</v>
      </c>
    </row>
    <row r="35" spans="1:8" x14ac:dyDescent="0.3">
      <c r="A35">
        <v>0</v>
      </c>
      <c r="B35" t="s">
        <v>32</v>
      </c>
      <c r="C35">
        <v>1</v>
      </c>
      <c r="D35">
        <v>1</v>
      </c>
    </row>
    <row r="36" spans="1:8" x14ac:dyDescent="0.3">
      <c r="A36">
        <v>1</v>
      </c>
      <c r="B36" t="s">
        <v>32</v>
      </c>
      <c r="C36">
        <v>0</v>
      </c>
      <c r="G36">
        <v>1</v>
      </c>
    </row>
    <row r="37" spans="1:8" x14ac:dyDescent="0.3">
      <c r="A37">
        <v>-5</v>
      </c>
      <c r="B37" t="s">
        <v>38</v>
      </c>
      <c r="C37">
        <v>1</v>
      </c>
      <c r="H37">
        <v>1</v>
      </c>
    </row>
    <row r="38" spans="1:8" x14ac:dyDescent="0.3">
      <c r="A38">
        <v>4</v>
      </c>
      <c r="B38" t="s">
        <v>32</v>
      </c>
      <c r="C38">
        <v>0</v>
      </c>
      <c r="G38">
        <v>1</v>
      </c>
    </row>
    <row r="39" spans="1:8" x14ac:dyDescent="0.3">
      <c r="A39">
        <v>0</v>
      </c>
      <c r="B39" t="s">
        <v>38</v>
      </c>
      <c r="C39">
        <v>0</v>
      </c>
      <c r="F39">
        <v>1</v>
      </c>
    </row>
    <row r="40" spans="1:8" x14ac:dyDescent="0.3">
      <c r="A40">
        <v>-2</v>
      </c>
      <c r="B40" t="s">
        <v>32</v>
      </c>
      <c r="C40">
        <v>0</v>
      </c>
      <c r="G40">
        <v>1</v>
      </c>
    </row>
    <row r="41" spans="1:8" x14ac:dyDescent="0.3">
      <c r="A41">
        <v>-3</v>
      </c>
      <c r="B41" t="s">
        <v>38</v>
      </c>
      <c r="C41">
        <v>1</v>
      </c>
      <c r="H41">
        <v>1</v>
      </c>
    </row>
    <row r="42" spans="1:8" x14ac:dyDescent="0.3">
      <c r="A42">
        <v>0</v>
      </c>
      <c r="B42" t="s">
        <v>38</v>
      </c>
      <c r="C42">
        <v>0</v>
      </c>
      <c r="F42">
        <v>1</v>
      </c>
    </row>
    <row r="43" spans="1:8" x14ac:dyDescent="0.3">
      <c r="A43">
        <v>-2</v>
      </c>
      <c r="B43" t="s">
        <v>32</v>
      </c>
      <c r="C43">
        <v>0</v>
      </c>
      <c r="G43">
        <v>1</v>
      </c>
    </row>
    <row r="44" spans="1:8" x14ac:dyDescent="0.3">
      <c r="A44">
        <v>0</v>
      </c>
      <c r="B44" t="s">
        <v>38</v>
      </c>
      <c r="C44">
        <v>0</v>
      </c>
      <c r="F44">
        <v>1</v>
      </c>
    </row>
    <row r="45" spans="1:8" x14ac:dyDescent="0.3">
      <c r="A45">
        <v>0</v>
      </c>
      <c r="B45" t="s">
        <v>38</v>
      </c>
      <c r="C45">
        <v>0</v>
      </c>
      <c r="F45">
        <v>1</v>
      </c>
    </row>
    <row r="46" spans="1:8" x14ac:dyDescent="0.3">
      <c r="A46">
        <v>2</v>
      </c>
      <c r="B46" t="s">
        <v>32</v>
      </c>
      <c r="C46">
        <v>0</v>
      </c>
      <c r="G46">
        <v>1</v>
      </c>
    </row>
    <row r="47" spans="1:8" x14ac:dyDescent="0.3">
      <c r="A47">
        <v>0</v>
      </c>
      <c r="B47" t="s">
        <v>38</v>
      </c>
      <c r="C47">
        <v>0</v>
      </c>
      <c r="F47">
        <v>1</v>
      </c>
    </row>
    <row r="48" spans="1:8" x14ac:dyDescent="0.3">
      <c r="A48">
        <v>-3</v>
      </c>
      <c r="B48" t="s">
        <v>32</v>
      </c>
      <c r="C48">
        <v>0</v>
      </c>
      <c r="G48">
        <v>1</v>
      </c>
    </row>
    <row r="49" spans="1:8" x14ac:dyDescent="0.3">
      <c r="A49">
        <v>0</v>
      </c>
      <c r="B49" t="s">
        <v>38</v>
      </c>
      <c r="C49">
        <v>0</v>
      </c>
      <c r="F49">
        <v>1</v>
      </c>
    </row>
    <row r="50" spans="1:8" x14ac:dyDescent="0.3">
      <c r="A50">
        <v>1</v>
      </c>
      <c r="B50" t="s">
        <v>38</v>
      </c>
      <c r="C50">
        <v>1</v>
      </c>
      <c r="H50">
        <v>1</v>
      </c>
    </row>
    <row r="51" spans="1:8" x14ac:dyDescent="0.3">
      <c r="A51">
        <v>-5</v>
      </c>
      <c r="B51" t="s">
        <v>32</v>
      </c>
      <c r="C51">
        <v>0</v>
      </c>
      <c r="G51">
        <v>1</v>
      </c>
    </row>
    <row r="52" spans="1:8" x14ac:dyDescent="0.3">
      <c r="A52">
        <v>-4</v>
      </c>
      <c r="B52" t="s">
        <v>38</v>
      </c>
      <c r="C52">
        <v>1</v>
      </c>
      <c r="H52">
        <v>1</v>
      </c>
    </row>
    <row r="53" spans="1:8" x14ac:dyDescent="0.3">
      <c r="A53">
        <v>1</v>
      </c>
      <c r="B53" t="s">
        <v>38</v>
      </c>
      <c r="C53">
        <v>1</v>
      </c>
      <c r="H53">
        <v>1</v>
      </c>
    </row>
    <row r="54" spans="1:8" x14ac:dyDescent="0.3">
      <c r="A54">
        <v>2</v>
      </c>
      <c r="B54" t="s">
        <v>32</v>
      </c>
      <c r="C54">
        <v>0</v>
      </c>
      <c r="G54">
        <v>1</v>
      </c>
    </row>
    <row r="55" spans="1:8" x14ac:dyDescent="0.3">
      <c r="A55">
        <v>2</v>
      </c>
      <c r="B55" t="s">
        <v>32</v>
      </c>
      <c r="C55">
        <v>0</v>
      </c>
      <c r="G55">
        <v>1</v>
      </c>
    </row>
    <row r="56" spans="1:8" x14ac:dyDescent="0.3">
      <c r="A56">
        <v>3</v>
      </c>
      <c r="B56" t="s">
        <v>38</v>
      </c>
      <c r="C56">
        <v>1</v>
      </c>
      <c r="H56">
        <v>1</v>
      </c>
    </row>
    <row r="57" spans="1:8" x14ac:dyDescent="0.3">
      <c r="A57">
        <v>-3</v>
      </c>
      <c r="B57" t="s">
        <v>32</v>
      </c>
      <c r="C57">
        <v>0</v>
      </c>
      <c r="G57">
        <v>1</v>
      </c>
    </row>
    <row r="58" spans="1:8" x14ac:dyDescent="0.3">
      <c r="A58">
        <v>0</v>
      </c>
      <c r="B58" t="s">
        <v>38</v>
      </c>
      <c r="C58">
        <v>0</v>
      </c>
      <c r="F58">
        <v>1</v>
      </c>
    </row>
    <row r="59" spans="1:8" x14ac:dyDescent="0.3">
      <c r="A59">
        <v>0</v>
      </c>
      <c r="B59" t="s">
        <v>32</v>
      </c>
      <c r="C59">
        <v>1</v>
      </c>
      <c r="E59">
        <v>1</v>
      </c>
    </row>
    <row r="60" spans="1:8" x14ac:dyDescent="0.3">
      <c r="A60">
        <v>0</v>
      </c>
      <c r="B60" t="s">
        <v>38</v>
      </c>
      <c r="C60">
        <v>0</v>
      </c>
      <c r="F60">
        <v>1</v>
      </c>
    </row>
    <row r="61" spans="1:8" x14ac:dyDescent="0.3">
      <c r="A61">
        <v>-3</v>
      </c>
      <c r="B61" t="s">
        <v>32</v>
      </c>
      <c r="C61">
        <v>0</v>
      </c>
      <c r="G61">
        <v>1</v>
      </c>
    </row>
    <row r="62" spans="1:8" x14ac:dyDescent="0.3">
      <c r="A62">
        <v>-4</v>
      </c>
      <c r="B62" t="s">
        <v>32</v>
      </c>
      <c r="C62">
        <v>0</v>
      </c>
      <c r="G62">
        <v>1</v>
      </c>
    </row>
    <row r="63" spans="1:8" x14ac:dyDescent="0.3">
      <c r="A63">
        <v>0</v>
      </c>
      <c r="B63" t="s">
        <v>38</v>
      </c>
      <c r="C63">
        <v>0</v>
      </c>
      <c r="F63">
        <v>1</v>
      </c>
    </row>
    <row r="64" spans="1:8" x14ac:dyDescent="0.3">
      <c r="A64">
        <v>-4</v>
      </c>
      <c r="B64" t="s">
        <v>32</v>
      </c>
      <c r="C64">
        <v>0</v>
      </c>
      <c r="G64">
        <v>1</v>
      </c>
    </row>
    <row r="65" spans="1:8" x14ac:dyDescent="0.3">
      <c r="A65">
        <v>-3</v>
      </c>
      <c r="B65" t="s">
        <v>38</v>
      </c>
      <c r="C65">
        <v>1</v>
      </c>
      <c r="H65">
        <v>1</v>
      </c>
    </row>
    <row r="66" spans="1:8" x14ac:dyDescent="0.3">
      <c r="A66">
        <v>4</v>
      </c>
      <c r="B66" t="s">
        <v>32</v>
      </c>
      <c r="C66">
        <v>0</v>
      </c>
      <c r="G66">
        <v>1</v>
      </c>
    </row>
    <row r="67" spans="1:8" x14ac:dyDescent="0.3">
      <c r="A67">
        <v>0</v>
      </c>
      <c r="B67" t="s">
        <v>38</v>
      </c>
      <c r="C67">
        <v>0</v>
      </c>
      <c r="F67">
        <v>1</v>
      </c>
    </row>
    <row r="68" spans="1:8" x14ac:dyDescent="0.3">
      <c r="A68">
        <v>-5</v>
      </c>
      <c r="B68" t="s">
        <v>32</v>
      </c>
      <c r="C68">
        <v>0</v>
      </c>
      <c r="G68">
        <v>1</v>
      </c>
    </row>
    <row r="69" spans="1:8" x14ac:dyDescent="0.3">
      <c r="A69">
        <v>0</v>
      </c>
      <c r="B69" t="s">
        <v>38</v>
      </c>
      <c r="C69">
        <v>0</v>
      </c>
      <c r="F69">
        <v>1</v>
      </c>
    </row>
    <row r="70" spans="1:8" x14ac:dyDescent="0.3">
      <c r="A70">
        <v>0</v>
      </c>
      <c r="B70" t="s">
        <v>32</v>
      </c>
      <c r="C70">
        <v>1</v>
      </c>
      <c r="E70">
        <v>1</v>
      </c>
    </row>
    <row r="71" spans="1:8" x14ac:dyDescent="0.3">
      <c r="A71">
        <v>3</v>
      </c>
      <c r="B71" t="s">
        <v>32</v>
      </c>
      <c r="C71">
        <v>0</v>
      </c>
      <c r="G71">
        <v>1</v>
      </c>
    </row>
    <row r="72" spans="1:8" x14ac:dyDescent="0.3">
      <c r="A72">
        <v>0</v>
      </c>
      <c r="B72" t="s">
        <v>38</v>
      </c>
      <c r="C72">
        <v>0</v>
      </c>
      <c r="F72">
        <v>1</v>
      </c>
    </row>
    <row r="73" spans="1:8" x14ac:dyDescent="0.3">
      <c r="A73">
        <v>-2</v>
      </c>
      <c r="B73" t="s">
        <v>32</v>
      </c>
      <c r="C73">
        <v>0</v>
      </c>
      <c r="G73">
        <v>1</v>
      </c>
    </row>
    <row r="74" spans="1:8" x14ac:dyDescent="0.3">
      <c r="A74">
        <v>0</v>
      </c>
      <c r="B74" t="s">
        <v>32</v>
      </c>
      <c r="C74">
        <v>1</v>
      </c>
      <c r="E74">
        <v>1</v>
      </c>
    </row>
    <row r="75" spans="1:8" x14ac:dyDescent="0.3">
      <c r="A75">
        <v>0</v>
      </c>
      <c r="B75" t="s">
        <v>38</v>
      </c>
      <c r="C75">
        <v>0</v>
      </c>
      <c r="F75">
        <v>1</v>
      </c>
    </row>
    <row r="76" spans="1:8" x14ac:dyDescent="0.3">
      <c r="A76">
        <v>-3</v>
      </c>
      <c r="B76" t="s">
        <v>32</v>
      </c>
      <c r="C76">
        <v>0</v>
      </c>
      <c r="G76">
        <v>1</v>
      </c>
    </row>
    <row r="77" spans="1:8" x14ac:dyDescent="0.3">
      <c r="A77">
        <v>0</v>
      </c>
      <c r="B77" t="s">
        <v>38</v>
      </c>
      <c r="C77">
        <v>0</v>
      </c>
      <c r="F77">
        <v>1</v>
      </c>
    </row>
    <row r="78" spans="1:8" x14ac:dyDescent="0.3">
      <c r="A78">
        <v>-2</v>
      </c>
      <c r="B78" t="s">
        <v>32</v>
      </c>
      <c r="C78">
        <v>0</v>
      </c>
      <c r="G78">
        <v>1</v>
      </c>
    </row>
    <row r="79" spans="1:8" x14ac:dyDescent="0.3">
      <c r="A79">
        <v>-3</v>
      </c>
      <c r="B79" t="s">
        <v>38</v>
      </c>
      <c r="C79">
        <v>1</v>
      </c>
      <c r="H79">
        <v>1</v>
      </c>
    </row>
    <row r="80" spans="1:8" x14ac:dyDescent="0.3">
      <c r="A80">
        <v>0</v>
      </c>
      <c r="B80" t="s">
        <v>32</v>
      </c>
      <c r="C80">
        <v>1</v>
      </c>
      <c r="E80">
        <v>1</v>
      </c>
    </row>
    <row r="81" spans="1:8" x14ac:dyDescent="0.3">
      <c r="A81">
        <v>3</v>
      </c>
      <c r="B81" t="s">
        <v>32</v>
      </c>
      <c r="C81">
        <v>0</v>
      </c>
      <c r="G81">
        <v>1</v>
      </c>
    </row>
    <row r="82" spans="1:8" x14ac:dyDescent="0.3">
      <c r="A82">
        <v>-5</v>
      </c>
      <c r="B82" t="s">
        <v>38</v>
      </c>
      <c r="C82">
        <v>1</v>
      </c>
      <c r="H82">
        <v>1</v>
      </c>
    </row>
    <row r="83" spans="1:8" x14ac:dyDescent="0.3">
      <c r="A83">
        <v>-3</v>
      </c>
      <c r="B83" t="s">
        <v>32</v>
      </c>
      <c r="C83">
        <v>0</v>
      </c>
      <c r="G83">
        <v>1</v>
      </c>
    </row>
    <row r="84" spans="1:8" x14ac:dyDescent="0.3">
      <c r="A84">
        <v>0</v>
      </c>
      <c r="B84" t="s">
        <v>38</v>
      </c>
      <c r="C84">
        <v>0</v>
      </c>
      <c r="F84">
        <v>1</v>
      </c>
    </row>
    <row r="85" spans="1:8" x14ac:dyDescent="0.3">
      <c r="A85">
        <v>-2</v>
      </c>
      <c r="B85" t="s">
        <v>32</v>
      </c>
      <c r="C85">
        <v>0</v>
      </c>
      <c r="G85">
        <v>1</v>
      </c>
    </row>
    <row r="86" spans="1:8" x14ac:dyDescent="0.3">
      <c r="A86">
        <v>0</v>
      </c>
      <c r="B86" t="s">
        <v>38</v>
      </c>
      <c r="C86">
        <v>0</v>
      </c>
      <c r="F86">
        <v>1</v>
      </c>
    </row>
    <row r="87" spans="1:8" x14ac:dyDescent="0.3">
      <c r="A87">
        <v>-5</v>
      </c>
      <c r="B87" t="s">
        <v>32</v>
      </c>
      <c r="C87">
        <v>0</v>
      </c>
      <c r="G87">
        <v>1</v>
      </c>
    </row>
    <row r="88" spans="1:8" x14ac:dyDescent="0.3">
      <c r="A88">
        <v>-3</v>
      </c>
      <c r="B88" t="s">
        <v>32</v>
      </c>
      <c r="C88">
        <v>0</v>
      </c>
      <c r="G88">
        <v>1</v>
      </c>
    </row>
    <row r="89" spans="1:8" x14ac:dyDescent="0.3">
      <c r="A89">
        <v>0</v>
      </c>
      <c r="B89" t="s">
        <v>32</v>
      </c>
      <c r="C89">
        <v>1</v>
      </c>
      <c r="E89">
        <v>1</v>
      </c>
    </row>
    <row r="90" spans="1:8" x14ac:dyDescent="0.3">
      <c r="A90">
        <v>0</v>
      </c>
      <c r="B90" t="s">
        <v>38</v>
      </c>
      <c r="C90">
        <v>0</v>
      </c>
      <c r="F90">
        <v>1</v>
      </c>
    </row>
    <row r="91" spans="1:8" x14ac:dyDescent="0.3">
      <c r="A91">
        <v>0</v>
      </c>
      <c r="B91" t="s">
        <v>38</v>
      </c>
      <c r="C91">
        <v>0</v>
      </c>
      <c r="F91">
        <v>1</v>
      </c>
    </row>
    <row r="92" spans="1:8" x14ac:dyDescent="0.3">
      <c r="A92">
        <v>-5</v>
      </c>
      <c r="B92" t="s">
        <v>38</v>
      </c>
      <c r="C92">
        <v>1</v>
      </c>
      <c r="H92">
        <v>1</v>
      </c>
    </row>
    <row r="93" spans="1:8" x14ac:dyDescent="0.3">
      <c r="A93">
        <v>0</v>
      </c>
      <c r="B93" t="s">
        <v>32</v>
      </c>
      <c r="C93">
        <v>1</v>
      </c>
      <c r="E93">
        <v>1</v>
      </c>
    </row>
    <row r="94" spans="1:8" x14ac:dyDescent="0.3">
      <c r="A94">
        <v>0</v>
      </c>
      <c r="B94" t="s">
        <v>32</v>
      </c>
      <c r="C94">
        <v>1</v>
      </c>
      <c r="E94">
        <v>1</v>
      </c>
    </row>
    <row r="95" spans="1:8" x14ac:dyDescent="0.3">
      <c r="A95">
        <v>1</v>
      </c>
      <c r="B95" t="s">
        <v>38</v>
      </c>
      <c r="C95">
        <v>1</v>
      </c>
      <c r="H95">
        <v>1</v>
      </c>
    </row>
    <row r="96" spans="1:8" x14ac:dyDescent="0.3">
      <c r="A96">
        <v>3</v>
      </c>
      <c r="B96" t="s">
        <v>32</v>
      </c>
      <c r="C96">
        <v>0</v>
      </c>
      <c r="G96">
        <v>1</v>
      </c>
    </row>
    <row r="97" spans="1:8" x14ac:dyDescent="0.3">
      <c r="A97">
        <v>2</v>
      </c>
      <c r="B97" t="s">
        <v>38</v>
      </c>
      <c r="C97">
        <v>1</v>
      </c>
      <c r="H97">
        <v>1</v>
      </c>
    </row>
    <row r="98" spans="1:8" x14ac:dyDescent="0.3">
      <c r="A98">
        <v>3</v>
      </c>
      <c r="B98" t="s">
        <v>38</v>
      </c>
      <c r="C98">
        <v>1</v>
      </c>
      <c r="H98">
        <v>1</v>
      </c>
    </row>
    <row r="99" spans="1:8" x14ac:dyDescent="0.3">
      <c r="A99">
        <v>0</v>
      </c>
      <c r="B99" t="s">
        <v>32</v>
      </c>
      <c r="C99">
        <v>1</v>
      </c>
      <c r="E99">
        <v>1</v>
      </c>
    </row>
    <row r="100" spans="1:8" x14ac:dyDescent="0.3">
      <c r="A100">
        <v>3</v>
      </c>
      <c r="B100" t="s">
        <v>38</v>
      </c>
      <c r="C100">
        <v>1</v>
      </c>
      <c r="H100">
        <v>1</v>
      </c>
    </row>
    <row r="101" spans="1:8" x14ac:dyDescent="0.3">
      <c r="A101">
        <v>0</v>
      </c>
      <c r="B101" t="s">
        <v>38</v>
      </c>
      <c r="C101">
        <v>0</v>
      </c>
      <c r="F101">
        <v>1</v>
      </c>
    </row>
    <row r="103" spans="1:8" x14ac:dyDescent="0.3">
      <c r="E103">
        <f>SUM(E2:E99)</f>
        <v>18</v>
      </c>
      <c r="F103">
        <f t="shared" ref="F103:H103" si="0">SUM(F2:F99)</f>
        <v>23</v>
      </c>
      <c r="G103">
        <f t="shared" si="0"/>
        <v>29</v>
      </c>
      <c r="H103">
        <f t="shared" si="0"/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051741_Orientation Discriminati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2025-09-08T10:45:48Z</dcterms:created>
  <dcterms:modified xsi:type="dcterms:W3CDTF">2025-09-09T13:06:13Z</dcterms:modified>
</cp:coreProperties>
</file>