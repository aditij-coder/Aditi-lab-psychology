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82CB18CB-5407-4946-99FD-44A0FFA3A7C2}" xr6:coauthVersionLast="47" xr6:coauthVersionMax="47" xr10:uidLastSave="{00000000-0000-0000-0000-000000000000}"/>
  <bookViews>
    <workbookView xWindow="-108" yWindow="-108" windowWidth="23256" windowHeight="12456" activeTab="3" xr2:uid="{7DA26331-D08D-443C-A2E7-CAD947DAFBC5}"/>
  </bookViews>
  <sheets>
    <sheet name="Participant 1" sheetId="1" r:id="rId1"/>
    <sheet name="Participant2" sheetId="2" r:id="rId2"/>
    <sheet name="Participant3" sheetId="3" r:id="rId3"/>
    <sheet name="Participan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4" l="1"/>
  <c r="L9" i="4"/>
  <c r="L8" i="4"/>
  <c r="M10" i="3"/>
  <c r="M8" i="3"/>
  <c r="M7" i="3"/>
  <c r="K9" i="2"/>
  <c r="M7" i="2"/>
  <c r="K7" i="2"/>
  <c r="H7" i="1"/>
  <c r="H5" i="1"/>
  <c r="H4" i="1"/>
</calcChain>
</file>

<file path=xl/sharedStrings.xml><?xml version="1.0" encoding="utf-8"?>
<sst xmlns="http://schemas.openxmlformats.org/spreadsheetml/2006/main" count="346" uniqueCount="84">
  <si>
    <t>test_words</t>
  </si>
  <si>
    <t>_oo_</t>
  </si>
  <si>
    <t>v_s_</t>
  </si>
  <si>
    <t>bo_t_e</t>
  </si>
  <si>
    <t>_ou_e</t>
  </si>
  <si>
    <t>c_s_</t>
  </si>
  <si>
    <t>_a_bl_</t>
  </si>
  <si>
    <t>T_hi_t</t>
  </si>
  <si>
    <t>P_st_y</t>
  </si>
  <si>
    <t>_ho_e</t>
  </si>
  <si>
    <t>_o_rd</t>
  </si>
  <si>
    <t>p_nc_l</t>
  </si>
  <si>
    <t>_ru_s_</t>
  </si>
  <si>
    <t>ta_l_</t>
  </si>
  <si>
    <t>c_s_io_</t>
  </si>
  <si>
    <t>c_m_ra</t>
  </si>
  <si>
    <t>K_y_</t>
  </si>
  <si>
    <t>P_st_r</t>
  </si>
  <si>
    <t>l_pt_p</t>
  </si>
  <si>
    <t>_ha_t</t>
  </si>
  <si>
    <t>P_li_e</t>
  </si>
  <si>
    <t>Reference</t>
  </si>
  <si>
    <t>Book</t>
  </si>
  <si>
    <t>Vase</t>
  </si>
  <si>
    <t>Bottle</t>
  </si>
  <si>
    <t>mouse</t>
  </si>
  <si>
    <t>Case</t>
  </si>
  <si>
    <t>Marble</t>
  </si>
  <si>
    <t>Tshirt</t>
  </si>
  <si>
    <t>Pastry</t>
  </si>
  <si>
    <t>Phone</t>
  </si>
  <si>
    <t>Board</t>
  </si>
  <si>
    <t>Pencil</t>
  </si>
  <si>
    <t>Cruise</t>
  </si>
  <si>
    <t>Table</t>
  </si>
  <si>
    <t>Cushion</t>
  </si>
  <si>
    <t>Camera</t>
  </si>
  <si>
    <t>Keys</t>
  </si>
  <si>
    <t>Poster</t>
  </si>
  <si>
    <t>Laptop</t>
  </si>
  <si>
    <t>Chart</t>
  </si>
  <si>
    <t>Police</t>
  </si>
  <si>
    <t>old_new</t>
  </si>
  <si>
    <t>old</t>
  </si>
  <si>
    <t>new</t>
  </si>
  <si>
    <t xml:space="preserve">old </t>
  </si>
  <si>
    <t>test_textbox.text</t>
  </si>
  <si>
    <t>book</t>
  </si>
  <si>
    <t>vase</t>
  </si>
  <si>
    <t>bottle</t>
  </si>
  <si>
    <t>house</t>
  </si>
  <si>
    <t>case</t>
  </si>
  <si>
    <t>marble</t>
  </si>
  <si>
    <t>tshirt</t>
  </si>
  <si>
    <t>phone</t>
  </si>
  <si>
    <t>world</t>
  </si>
  <si>
    <t>pencil</t>
  </si>
  <si>
    <t>bruise</t>
  </si>
  <si>
    <t>table</t>
  </si>
  <si>
    <t>cushion</t>
  </si>
  <si>
    <t>camera</t>
  </si>
  <si>
    <t>keys</t>
  </si>
  <si>
    <t>poster</t>
  </si>
  <si>
    <t>laptop</t>
  </si>
  <si>
    <t>chart</t>
  </si>
  <si>
    <t>police</t>
  </si>
  <si>
    <t>prop hit from study list</t>
  </si>
  <si>
    <t xml:space="preserve">Prop hit for non prime words </t>
  </si>
  <si>
    <t xml:space="preserve">Priming score </t>
  </si>
  <si>
    <t>cruise</t>
  </si>
  <si>
    <t>board</t>
  </si>
  <si>
    <t>pastry</t>
  </si>
  <si>
    <t>shore</t>
  </si>
  <si>
    <t>visa</t>
  </si>
  <si>
    <t>cosy</t>
  </si>
  <si>
    <t>boom</t>
  </si>
  <si>
    <t>talls</t>
  </si>
  <si>
    <t xml:space="preserve"> prop hit from the study list</t>
  </si>
  <si>
    <t xml:space="preserve"> prop for non prime word </t>
  </si>
  <si>
    <t>priming score</t>
  </si>
  <si>
    <t>prop hit from the study list</t>
  </si>
  <si>
    <t xml:space="preserve">prop for non priming words </t>
  </si>
  <si>
    <t xml:space="preserve">prop hit from the study list </t>
  </si>
  <si>
    <t>prop for non priming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</si>
</sst>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12FE-B2FF-48CB-A4A6-D3A24C4C6773}">
  <dimension ref="A1:H21"/>
  <sheetViews>
    <sheetView workbookViewId="0">
      <selection activeCell="G15" sqref="G15"/>
    </sheetView>
  </sheetViews>
  <sheetFormatPr defaultRowHeight="14.4" x14ac:dyDescent="0.3"/>
  <cols>
    <col min="2" max="2" width="14" customWidth="1"/>
    <col min="7" max="7" width="22.109375" customWidth="1"/>
  </cols>
  <sheetData>
    <row r="1" spans="1:8" x14ac:dyDescent="0.3">
      <c r="A1" t="s">
        <v>0</v>
      </c>
      <c r="B1" t="s">
        <v>21</v>
      </c>
      <c r="C1" t="s">
        <v>42</v>
      </c>
      <c r="D1" t="s">
        <v>46</v>
      </c>
    </row>
    <row r="2" spans="1:8" x14ac:dyDescent="0.3">
      <c r="A2" t="s">
        <v>1</v>
      </c>
      <c r="B2" t="s">
        <v>22</v>
      </c>
      <c r="C2" t="s">
        <v>43</v>
      </c>
      <c r="D2" t="s">
        <v>47</v>
      </c>
    </row>
    <row r="3" spans="1:8" x14ac:dyDescent="0.3">
      <c r="A3" t="s">
        <v>2</v>
      </c>
      <c r="B3" t="s">
        <v>23</v>
      </c>
      <c r="C3" t="s">
        <v>44</v>
      </c>
      <c r="D3" t="s">
        <v>48</v>
      </c>
    </row>
    <row r="4" spans="1:8" x14ac:dyDescent="0.3">
      <c r="A4" t="s">
        <v>3</v>
      </c>
      <c r="B4" t="s">
        <v>24</v>
      </c>
      <c r="C4" t="s">
        <v>44</v>
      </c>
      <c r="D4" t="s">
        <v>49</v>
      </c>
      <c r="G4" s="3" t="s">
        <v>66</v>
      </c>
      <c r="H4" s="3">
        <f>11/15</f>
        <v>0.73333333333333328</v>
      </c>
    </row>
    <row r="5" spans="1:8" x14ac:dyDescent="0.3">
      <c r="A5" t="s">
        <v>4</v>
      </c>
      <c r="B5" t="s">
        <v>25</v>
      </c>
      <c r="C5" t="s">
        <v>43</v>
      </c>
      <c r="D5" t="s">
        <v>50</v>
      </c>
      <c r="G5" s="3" t="s">
        <v>67</v>
      </c>
      <c r="H5" s="3">
        <f>5/5</f>
        <v>1</v>
      </c>
    </row>
    <row r="6" spans="1:8" x14ac:dyDescent="0.3">
      <c r="A6" t="s">
        <v>5</v>
      </c>
      <c r="B6" t="s">
        <v>26</v>
      </c>
      <c r="C6" t="s">
        <v>43</v>
      </c>
      <c r="D6" t="s">
        <v>51</v>
      </c>
      <c r="G6" s="3"/>
      <c r="H6" s="3"/>
    </row>
    <row r="7" spans="1:8" x14ac:dyDescent="0.3">
      <c r="A7" t="s">
        <v>6</v>
      </c>
      <c r="B7" t="s">
        <v>27</v>
      </c>
      <c r="C7" t="s">
        <v>43</v>
      </c>
      <c r="D7" t="s">
        <v>52</v>
      </c>
      <c r="G7" s="3" t="s">
        <v>68</v>
      </c>
      <c r="H7" s="3">
        <f>H4-H5</f>
        <v>-0.26666666666666672</v>
      </c>
    </row>
    <row r="8" spans="1:8" x14ac:dyDescent="0.3">
      <c r="A8" t="s">
        <v>7</v>
      </c>
      <c r="B8" t="s">
        <v>28</v>
      </c>
      <c r="C8" t="s">
        <v>43</v>
      </c>
      <c r="D8" t="s">
        <v>53</v>
      </c>
    </row>
    <row r="9" spans="1:8" x14ac:dyDescent="0.3">
      <c r="A9" t="s">
        <v>8</v>
      </c>
      <c r="B9" t="s">
        <v>29</v>
      </c>
      <c r="C9" t="s">
        <v>43</v>
      </c>
    </row>
    <row r="10" spans="1:8" x14ac:dyDescent="0.3">
      <c r="A10" t="s">
        <v>9</v>
      </c>
      <c r="B10" t="s">
        <v>30</v>
      </c>
      <c r="C10" t="s">
        <v>43</v>
      </c>
      <c r="D10" t="s">
        <v>54</v>
      </c>
    </row>
    <row r="11" spans="1:8" x14ac:dyDescent="0.3">
      <c r="A11" t="s">
        <v>10</v>
      </c>
      <c r="B11" t="s">
        <v>31</v>
      </c>
      <c r="C11" t="s">
        <v>43</v>
      </c>
      <c r="D11" t="s">
        <v>55</v>
      </c>
    </row>
    <row r="12" spans="1:8" x14ac:dyDescent="0.3">
      <c r="A12" t="s">
        <v>11</v>
      </c>
      <c r="B12" t="s">
        <v>32</v>
      </c>
      <c r="C12" t="s">
        <v>44</v>
      </c>
      <c r="D12" t="s">
        <v>56</v>
      </c>
    </row>
    <row r="13" spans="1:8" x14ac:dyDescent="0.3">
      <c r="A13" t="s">
        <v>12</v>
      </c>
      <c r="B13" t="s">
        <v>33</v>
      </c>
      <c r="C13" t="s">
        <v>43</v>
      </c>
      <c r="D13" t="s">
        <v>57</v>
      </c>
    </row>
    <row r="14" spans="1:8" x14ac:dyDescent="0.3">
      <c r="A14" t="s">
        <v>13</v>
      </c>
      <c r="B14" t="s">
        <v>34</v>
      </c>
      <c r="C14" t="s">
        <v>44</v>
      </c>
      <c r="D14" t="s">
        <v>58</v>
      </c>
    </row>
    <row r="15" spans="1:8" x14ac:dyDescent="0.3">
      <c r="A15" t="s">
        <v>14</v>
      </c>
      <c r="B15" t="s">
        <v>35</v>
      </c>
      <c r="C15" t="s">
        <v>43</v>
      </c>
      <c r="D15" t="s">
        <v>59</v>
      </c>
    </row>
    <row r="16" spans="1:8" x14ac:dyDescent="0.3">
      <c r="A16" t="s">
        <v>15</v>
      </c>
      <c r="B16" t="s">
        <v>36</v>
      </c>
      <c r="C16" t="s">
        <v>44</v>
      </c>
      <c r="D16" t="s">
        <v>60</v>
      </c>
    </row>
    <row r="17" spans="1:4" x14ac:dyDescent="0.3">
      <c r="A17" t="s">
        <v>16</v>
      </c>
      <c r="B17" t="s">
        <v>37</v>
      </c>
      <c r="C17" t="s">
        <v>43</v>
      </c>
      <c r="D17" t="s">
        <v>61</v>
      </c>
    </row>
    <row r="18" spans="1:4" x14ac:dyDescent="0.3">
      <c r="A18" t="s">
        <v>17</v>
      </c>
      <c r="B18" t="s">
        <v>38</v>
      </c>
      <c r="C18" t="s">
        <v>43</v>
      </c>
      <c r="D18" t="s">
        <v>62</v>
      </c>
    </row>
    <row r="19" spans="1:4" x14ac:dyDescent="0.3">
      <c r="A19" t="s">
        <v>18</v>
      </c>
      <c r="B19" t="s">
        <v>39</v>
      </c>
      <c r="C19" t="s">
        <v>45</v>
      </c>
      <c r="D19" t="s">
        <v>63</v>
      </c>
    </row>
    <row r="20" spans="1:4" x14ac:dyDescent="0.3">
      <c r="A20" t="s">
        <v>19</v>
      </c>
      <c r="B20" t="s">
        <v>40</v>
      </c>
      <c r="C20" t="s">
        <v>43</v>
      </c>
      <c r="D20" t="s">
        <v>64</v>
      </c>
    </row>
    <row r="21" spans="1:4" x14ac:dyDescent="0.3">
      <c r="A21" t="s">
        <v>20</v>
      </c>
      <c r="B21" t="s">
        <v>41</v>
      </c>
      <c r="C21" t="s">
        <v>43</v>
      </c>
      <c r="D2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7A0D-354A-444A-BB99-C5EB31DDD914}">
  <dimension ref="A1:M21"/>
  <sheetViews>
    <sheetView workbookViewId="0">
      <selection activeCell="J21" sqref="J21"/>
    </sheetView>
  </sheetViews>
  <sheetFormatPr defaultRowHeight="14.4" x14ac:dyDescent="0.3"/>
  <cols>
    <col min="8" max="8" width="8.109375" customWidth="1"/>
    <col min="10" max="10" width="25" customWidth="1"/>
    <col min="12" max="12" width="22.33203125" customWidth="1"/>
  </cols>
  <sheetData>
    <row r="1" spans="1:13" x14ac:dyDescent="0.3">
      <c r="A1" t="s">
        <v>0</v>
      </c>
      <c r="B1" t="s">
        <v>21</v>
      </c>
      <c r="C1" t="s">
        <v>42</v>
      </c>
      <c r="D1" t="s">
        <v>46</v>
      </c>
    </row>
    <row r="2" spans="1:13" x14ac:dyDescent="0.3">
      <c r="A2" t="s">
        <v>12</v>
      </c>
      <c r="B2" t="s">
        <v>33</v>
      </c>
      <c r="C2" t="s">
        <v>43</v>
      </c>
      <c r="D2" t="s">
        <v>69</v>
      </c>
    </row>
    <row r="3" spans="1:13" x14ac:dyDescent="0.3">
      <c r="A3" t="s">
        <v>16</v>
      </c>
      <c r="B3" t="s">
        <v>37</v>
      </c>
      <c r="C3" t="s">
        <v>43</v>
      </c>
      <c r="D3" t="s">
        <v>61</v>
      </c>
    </row>
    <row r="4" spans="1:13" x14ac:dyDescent="0.3">
      <c r="A4" t="s">
        <v>15</v>
      </c>
      <c r="B4" t="s">
        <v>36</v>
      </c>
      <c r="C4" t="s">
        <v>44</v>
      </c>
      <c r="D4" t="s">
        <v>60</v>
      </c>
    </row>
    <row r="5" spans="1:13" x14ac:dyDescent="0.3">
      <c r="A5" t="s">
        <v>10</v>
      </c>
      <c r="B5" t="s">
        <v>31</v>
      </c>
      <c r="C5" t="s">
        <v>43</v>
      </c>
      <c r="D5" t="s">
        <v>70</v>
      </c>
    </row>
    <row r="6" spans="1:13" x14ac:dyDescent="0.3">
      <c r="A6" t="s">
        <v>17</v>
      </c>
      <c r="B6" t="s">
        <v>38</v>
      </c>
      <c r="C6" t="s">
        <v>43</v>
      </c>
      <c r="D6" t="s">
        <v>62</v>
      </c>
    </row>
    <row r="7" spans="1:13" x14ac:dyDescent="0.3">
      <c r="A7" t="s">
        <v>3</v>
      </c>
      <c r="B7" t="s">
        <v>24</v>
      </c>
      <c r="C7" t="s">
        <v>44</v>
      </c>
      <c r="D7" t="s">
        <v>49</v>
      </c>
      <c r="J7" s="2" t="s">
        <v>77</v>
      </c>
      <c r="K7" s="3">
        <f>15/15</f>
        <v>1</v>
      </c>
      <c r="L7" s="3" t="s">
        <v>78</v>
      </c>
      <c r="M7" s="3">
        <f>5/5</f>
        <v>1</v>
      </c>
    </row>
    <row r="8" spans="1:13" x14ac:dyDescent="0.3">
      <c r="A8" t="s">
        <v>4</v>
      </c>
      <c r="B8" t="s">
        <v>25</v>
      </c>
      <c r="C8" t="s">
        <v>43</v>
      </c>
      <c r="D8" t="s">
        <v>25</v>
      </c>
      <c r="K8" s="1"/>
    </row>
    <row r="9" spans="1:13" x14ac:dyDescent="0.3">
      <c r="A9" t="s">
        <v>19</v>
      </c>
      <c r="B9" t="s">
        <v>40</v>
      </c>
      <c r="C9" t="s">
        <v>43</v>
      </c>
      <c r="D9" t="s">
        <v>64</v>
      </c>
      <c r="J9" s="3" t="s">
        <v>79</v>
      </c>
      <c r="K9" s="3">
        <f>K7-M7</f>
        <v>0</v>
      </c>
    </row>
    <row r="10" spans="1:13" x14ac:dyDescent="0.3">
      <c r="A10" t="s">
        <v>7</v>
      </c>
      <c r="B10" t="s">
        <v>28</v>
      </c>
      <c r="C10" t="s">
        <v>43</v>
      </c>
      <c r="D10" t="s">
        <v>53</v>
      </c>
    </row>
    <row r="11" spans="1:13" x14ac:dyDescent="0.3">
      <c r="A11" t="s">
        <v>11</v>
      </c>
      <c r="B11" t="s">
        <v>32</v>
      </c>
      <c r="C11" t="s">
        <v>44</v>
      </c>
      <c r="D11" t="s">
        <v>56</v>
      </c>
    </row>
    <row r="12" spans="1:13" x14ac:dyDescent="0.3">
      <c r="A12" t="s">
        <v>6</v>
      </c>
      <c r="B12" t="s">
        <v>27</v>
      </c>
      <c r="C12" t="s">
        <v>43</v>
      </c>
      <c r="D12" t="s">
        <v>52</v>
      </c>
    </row>
    <row r="13" spans="1:13" x14ac:dyDescent="0.3">
      <c r="A13" t="s">
        <v>2</v>
      </c>
      <c r="B13" t="s">
        <v>23</v>
      </c>
      <c r="C13" t="s">
        <v>44</v>
      </c>
      <c r="D13" t="s">
        <v>48</v>
      </c>
    </row>
    <row r="14" spans="1:13" x14ac:dyDescent="0.3">
      <c r="A14" t="s">
        <v>8</v>
      </c>
      <c r="B14" t="s">
        <v>29</v>
      </c>
      <c r="C14" t="s">
        <v>43</v>
      </c>
      <c r="D14" t="s">
        <v>71</v>
      </c>
    </row>
    <row r="15" spans="1:13" x14ac:dyDescent="0.3">
      <c r="A15" t="s">
        <v>1</v>
      </c>
      <c r="B15" t="s">
        <v>22</v>
      </c>
      <c r="C15" t="s">
        <v>43</v>
      </c>
      <c r="D15" t="s">
        <v>47</v>
      </c>
    </row>
    <row r="16" spans="1:13" x14ac:dyDescent="0.3">
      <c r="A16" t="s">
        <v>5</v>
      </c>
      <c r="B16" t="s">
        <v>26</v>
      </c>
      <c r="C16" t="s">
        <v>43</v>
      </c>
      <c r="D16" t="s">
        <v>51</v>
      </c>
    </row>
    <row r="17" spans="1:4" x14ac:dyDescent="0.3">
      <c r="A17" t="s">
        <v>20</v>
      </c>
      <c r="B17" t="s">
        <v>41</v>
      </c>
      <c r="C17" t="s">
        <v>43</v>
      </c>
      <c r="D17" t="s">
        <v>65</v>
      </c>
    </row>
    <row r="18" spans="1:4" x14ac:dyDescent="0.3">
      <c r="A18" t="s">
        <v>18</v>
      </c>
      <c r="B18" t="s">
        <v>39</v>
      </c>
      <c r="C18" t="s">
        <v>45</v>
      </c>
      <c r="D18" t="s">
        <v>63</v>
      </c>
    </row>
    <row r="19" spans="1:4" x14ac:dyDescent="0.3">
      <c r="A19" t="s">
        <v>14</v>
      </c>
      <c r="B19" t="s">
        <v>35</v>
      </c>
      <c r="C19" t="s">
        <v>43</v>
      </c>
      <c r="D19" t="s">
        <v>59</v>
      </c>
    </row>
    <row r="20" spans="1:4" x14ac:dyDescent="0.3">
      <c r="A20" t="s">
        <v>13</v>
      </c>
      <c r="B20" t="s">
        <v>34</v>
      </c>
      <c r="C20" t="s">
        <v>44</v>
      </c>
      <c r="D20" t="s">
        <v>58</v>
      </c>
    </row>
    <row r="21" spans="1:4" x14ac:dyDescent="0.3">
      <c r="A21" t="s">
        <v>9</v>
      </c>
      <c r="B21" t="s">
        <v>30</v>
      </c>
      <c r="C21" t="s">
        <v>43</v>
      </c>
      <c r="D2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2BEA-84E2-428F-8F4E-031B5C3B88DB}">
  <dimension ref="A1:N21"/>
  <sheetViews>
    <sheetView workbookViewId="0">
      <selection activeCell="J23" sqref="J23"/>
    </sheetView>
  </sheetViews>
  <sheetFormatPr defaultRowHeight="14.4" x14ac:dyDescent="0.3"/>
  <sheetData>
    <row r="1" spans="1:14" x14ac:dyDescent="0.3">
      <c r="A1" t="s">
        <v>0</v>
      </c>
      <c r="B1" t="s">
        <v>21</v>
      </c>
      <c r="C1" t="s">
        <v>42</v>
      </c>
      <c r="D1" t="s">
        <v>46</v>
      </c>
    </row>
    <row r="2" spans="1:14" x14ac:dyDescent="0.3">
      <c r="A2" t="s">
        <v>4</v>
      </c>
      <c r="B2" t="s">
        <v>25</v>
      </c>
      <c r="C2" t="s">
        <v>43</v>
      </c>
      <c r="D2" t="s">
        <v>25</v>
      </c>
    </row>
    <row r="3" spans="1:14" x14ac:dyDescent="0.3">
      <c r="A3" t="s">
        <v>11</v>
      </c>
      <c r="B3" t="s">
        <v>32</v>
      </c>
      <c r="C3" t="s">
        <v>44</v>
      </c>
      <c r="D3" t="s">
        <v>56</v>
      </c>
    </row>
    <row r="4" spans="1:14" x14ac:dyDescent="0.3">
      <c r="A4" t="s">
        <v>9</v>
      </c>
      <c r="B4" t="s">
        <v>30</v>
      </c>
      <c r="C4" t="s">
        <v>43</v>
      </c>
      <c r="D4" t="s">
        <v>72</v>
      </c>
    </row>
    <row r="5" spans="1:14" x14ac:dyDescent="0.3">
      <c r="A5" t="s">
        <v>8</v>
      </c>
      <c r="B5" t="s">
        <v>29</v>
      </c>
      <c r="C5" t="s">
        <v>43</v>
      </c>
      <c r="D5" t="s">
        <v>71</v>
      </c>
    </row>
    <row r="6" spans="1:14" x14ac:dyDescent="0.3">
      <c r="A6" t="s">
        <v>6</v>
      </c>
      <c r="B6" t="s">
        <v>27</v>
      </c>
      <c r="C6" t="s">
        <v>43</v>
      </c>
    </row>
    <row r="7" spans="1:14" x14ac:dyDescent="0.3">
      <c r="A7" t="s">
        <v>17</v>
      </c>
      <c r="B7" t="s">
        <v>38</v>
      </c>
      <c r="C7" t="s">
        <v>43</v>
      </c>
      <c r="D7" t="s">
        <v>62</v>
      </c>
      <c r="J7" s="3" t="s">
        <v>80</v>
      </c>
      <c r="K7" s="3"/>
      <c r="L7" s="3"/>
      <c r="M7" s="3">
        <f>12/15</f>
        <v>0.8</v>
      </c>
      <c r="N7" s="3"/>
    </row>
    <row r="8" spans="1:14" x14ac:dyDescent="0.3">
      <c r="A8" t="s">
        <v>15</v>
      </c>
      <c r="B8" t="s">
        <v>36</v>
      </c>
      <c r="C8" t="s">
        <v>44</v>
      </c>
      <c r="D8" t="s">
        <v>60</v>
      </c>
      <c r="J8" s="3" t="s">
        <v>81</v>
      </c>
      <c r="K8" s="3"/>
      <c r="L8" s="3"/>
      <c r="M8" s="3">
        <f>4/5</f>
        <v>0.8</v>
      </c>
      <c r="N8" s="3"/>
    </row>
    <row r="9" spans="1:14" x14ac:dyDescent="0.3">
      <c r="A9" t="s">
        <v>14</v>
      </c>
      <c r="B9" t="s">
        <v>35</v>
      </c>
      <c r="C9" t="s">
        <v>43</v>
      </c>
      <c r="D9" t="s">
        <v>59</v>
      </c>
      <c r="J9" s="3"/>
      <c r="K9" s="3"/>
      <c r="L9" s="3"/>
      <c r="M9" s="3"/>
      <c r="N9" s="3"/>
    </row>
    <row r="10" spans="1:14" x14ac:dyDescent="0.3">
      <c r="A10" t="s">
        <v>2</v>
      </c>
      <c r="B10" t="s">
        <v>23</v>
      </c>
      <c r="C10" t="s">
        <v>44</v>
      </c>
      <c r="D10" t="s">
        <v>73</v>
      </c>
      <c r="J10" s="3" t="s">
        <v>79</v>
      </c>
      <c r="K10" s="3"/>
      <c r="L10" s="3"/>
      <c r="M10" s="3">
        <f>M7-M8</f>
        <v>0</v>
      </c>
      <c r="N10" s="3"/>
    </row>
    <row r="11" spans="1:14" x14ac:dyDescent="0.3">
      <c r="A11" t="s">
        <v>13</v>
      </c>
      <c r="B11" t="s">
        <v>34</v>
      </c>
      <c r="C11" t="s">
        <v>44</v>
      </c>
      <c r="D11" t="s">
        <v>58</v>
      </c>
      <c r="J11" s="3"/>
      <c r="K11" s="3"/>
      <c r="L11" s="3"/>
      <c r="M11" s="3"/>
      <c r="N11" s="3"/>
    </row>
    <row r="12" spans="1:14" x14ac:dyDescent="0.3">
      <c r="A12" t="s">
        <v>5</v>
      </c>
      <c r="B12" t="s">
        <v>26</v>
      </c>
      <c r="C12" t="s">
        <v>43</v>
      </c>
      <c r="D12" t="s">
        <v>74</v>
      </c>
    </row>
    <row r="13" spans="1:14" x14ac:dyDescent="0.3">
      <c r="A13" t="s">
        <v>20</v>
      </c>
      <c r="B13" t="s">
        <v>41</v>
      </c>
      <c r="C13" t="s">
        <v>43</v>
      </c>
      <c r="D13" t="s">
        <v>65</v>
      </c>
    </row>
    <row r="14" spans="1:14" x14ac:dyDescent="0.3">
      <c r="A14" t="s">
        <v>10</v>
      </c>
      <c r="B14" t="s">
        <v>31</v>
      </c>
      <c r="C14" t="s">
        <v>43</v>
      </c>
      <c r="D14" t="s">
        <v>70</v>
      </c>
    </row>
    <row r="15" spans="1:14" x14ac:dyDescent="0.3">
      <c r="A15" t="s">
        <v>12</v>
      </c>
      <c r="B15" t="s">
        <v>33</v>
      </c>
      <c r="C15" t="s">
        <v>43</v>
      </c>
      <c r="D15" t="s">
        <v>69</v>
      </c>
    </row>
    <row r="16" spans="1:14" x14ac:dyDescent="0.3">
      <c r="A16" t="s">
        <v>1</v>
      </c>
      <c r="B16" t="s">
        <v>22</v>
      </c>
      <c r="C16" t="s">
        <v>43</v>
      </c>
      <c r="D16" t="s">
        <v>47</v>
      </c>
    </row>
    <row r="17" spans="1:4" x14ac:dyDescent="0.3">
      <c r="A17" t="s">
        <v>19</v>
      </c>
      <c r="B17" t="s">
        <v>40</v>
      </c>
      <c r="C17" t="s">
        <v>43</v>
      </c>
      <c r="D17" t="s">
        <v>64</v>
      </c>
    </row>
    <row r="18" spans="1:4" x14ac:dyDescent="0.3">
      <c r="A18" t="s">
        <v>16</v>
      </c>
      <c r="B18" t="s">
        <v>37</v>
      </c>
      <c r="C18" t="s">
        <v>43</v>
      </c>
      <c r="D18" t="s">
        <v>61</v>
      </c>
    </row>
    <row r="19" spans="1:4" x14ac:dyDescent="0.3">
      <c r="A19" t="s">
        <v>3</v>
      </c>
      <c r="B19" t="s">
        <v>24</v>
      </c>
      <c r="C19" t="s">
        <v>44</v>
      </c>
      <c r="D19" t="s">
        <v>49</v>
      </c>
    </row>
    <row r="20" spans="1:4" x14ac:dyDescent="0.3">
      <c r="A20" t="s">
        <v>18</v>
      </c>
      <c r="B20" t="s">
        <v>39</v>
      </c>
      <c r="C20" t="s">
        <v>45</v>
      </c>
      <c r="D20" t="s">
        <v>63</v>
      </c>
    </row>
    <row r="21" spans="1:4" x14ac:dyDescent="0.3">
      <c r="A21" t="s">
        <v>7</v>
      </c>
      <c r="B21" t="s">
        <v>28</v>
      </c>
      <c r="C21" t="s">
        <v>43</v>
      </c>
      <c r="D21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FFCC-5653-4C39-8D55-19C9EF24AD62}">
  <dimension ref="A1:M21"/>
  <sheetViews>
    <sheetView tabSelected="1" workbookViewId="0">
      <selection activeCell="F17" sqref="F17"/>
    </sheetView>
  </sheetViews>
  <sheetFormatPr defaultRowHeight="14.4" x14ac:dyDescent="0.3"/>
  <sheetData>
    <row r="1" spans="1:13" x14ac:dyDescent="0.3">
      <c r="A1" t="s">
        <v>0</v>
      </c>
      <c r="B1" t="s">
        <v>21</v>
      </c>
      <c r="C1" t="s">
        <v>42</v>
      </c>
      <c r="D1" t="s">
        <v>46</v>
      </c>
    </row>
    <row r="2" spans="1:13" x14ac:dyDescent="0.3">
      <c r="A2" t="s">
        <v>5</v>
      </c>
      <c r="B2" t="s">
        <v>26</v>
      </c>
      <c r="C2" t="s">
        <v>43</v>
      </c>
      <c r="D2" t="s">
        <v>51</v>
      </c>
    </row>
    <row r="3" spans="1:13" x14ac:dyDescent="0.3">
      <c r="A3" t="s">
        <v>7</v>
      </c>
      <c r="B3" t="s">
        <v>28</v>
      </c>
      <c r="C3" t="s">
        <v>43</v>
      </c>
      <c r="D3" t="s">
        <v>53</v>
      </c>
    </row>
    <row r="4" spans="1:13" x14ac:dyDescent="0.3">
      <c r="A4" t="s">
        <v>6</v>
      </c>
      <c r="B4" t="s">
        <v>27</v>
      </c>
      <c r="C4" t="s">
        <v>43</v>
      </c>
      <c r="D4" t="s">
        <v>52</v>
      </c>
    </row>
    <row r="5" spans="1:13" x14ac:dyDescent="0.3">
      <c r="A5" t="s">
        <v>20</v>
      </c>
      <c r="B5" t="s">
        <v>41</v>
      </c>
      <c r="C5" t="s">
        <v>43</v>
      </c>
      <c r="D5" t="s">
        <v>65</v>
      </c>
    </row>
    <row r="6" spans="1:13" x14ac:dyDescent="0.3">
      <c r="A6" t="s">
        <v>1</v>
      </c>
      <c r="B6" t="s">
        <v>22</v>
      </c>
      <c r="C6" t="s">
        <v>43</v>
      </c>
      <c r="D6" t="s">
        <v>75</v>
      </c>
    </row>
    <row r="7" spans="1:13" x14ac:dyDescent="0.3">
      <c r="A7" t="s">
        <v>19</v>
      </c>
      <c r="B7" t="s">
        <v>40</v>
      </c>
      <c r="C7" t="s">
        <v>43</v>
      </c>
      <c r="D7" t="s">
        <v>64</v>
      </c>
    </row>
    <row r="8" spans="1:13" x14ac:dyDescent="0.3">
      <c r="A8" t="s">
        <v>17</v>
      </c>
      <c r="B8" t="s">
        <v>38</v>
      </c>
      <c r="C8" t="s">
        <v>43</v>
      </c>
      <c r="D8" t="s">
        <v>62</v>
      </c>
      <c r="I8" s="3" t="s">
        <v>82</v>
      </c>
      <c r="J8" s="3"/>
      <c r="K8" s="3"/>
      <c r="L8" s="3">
        <f>13/15</f>
        <v>0.8666666666666667</v>
      </c>
      <c r="M8" s="3"/>
    </row>
    <row r="9" spans="1:13" x14ac:dyDescent="0.3">
      <c r="A9" t="s">
        <v>10</v>
      </c>
      <c r="B9" t="s">
        <v>31</v>
      </c>
      <c r="C9" t="s">
        <v>43</v>
      </c>
      <c r="D9" t="s">
        <v>70</v>
      </c>
      <c r="I9" s="3" t="s">
        <v>83</v>
      </c>
      <c r="J9" s="3"/>
      <c r="K9" s="3"/>
      <c r="L9" s="3">
        <f>4/5</f>
        <v>0.8</v>
      </c>
      <c r="M9" s="3"/>
    </row>
    <row r="10" spans="1:13" x14ac:dyDescent="0.3">
      <c r="A10" t="s">
        <v>2</v>
      </c>
      <c r="B10" t="s">
        <v>23</v>
      </c>
      <c r="C10" t="s">
        <v>44</v>
      </c>
      <c r="D10" t="s">
        <v>48</v>
      </c>
      <c r="I10" s="3"/>
      <c r="J10" s="3"/>
      <c r="K10" s="3"/>
      <c r="L10" s="3"/>
      <c r="M10" s="3"/>
    </row>
    <row r="11" spans="1:13" x14ac:dyDescent="0.3">
      <c r="A11" t="s">
        <v>8</v>
      </c>
      <c r="B11" t="s">
        <v>29</v>
      </c>
      <c r="C11" t="s">
        <v>43</v>
      </c>
      <c r="D11" t="s">
        <v>71</v>
      </c>
      <c r="I11" s="3" t="s">
        <v>79</v>
      </c>
      <c r="J11" s="3"/>
      <c r="K11" s="3"/>
      <c r="L11" s="3">
        <f>L8-L9</f>
        <v>6.6666666666666652E-2</v>
      </c>
      <c r="M11" s="3"/>
    </row>
    <row r="12" spans="1:13" x14ac:dyDescent="0.3">
      <c r="A12" t="s">
        <v>15</v>
      </c>
      <c r="B12" t="s">
        <v>36</v>
      </c>
      <c r="C12" t="s">
        <v>44</v>
      </c>
      <c r="D12" t="s">
        <v>60</v>
      </c>
      <c r="I12" s="3"/>
      <c r="J12" s="3"/>
      <c r="K12" s="3"/>
      <c r="L12" s="3"/>
      <c r="M12" s="3"/>
    </row>
    <row r="13" spans="1:13" x14ac:dyDescent="0.3">
      <c r="A13" t="s">
        <v>4</v>
      </c>
      <c r="B13" t="s">
        <v>25</v>
      </c>
      <c r="C13" t="s">
        <v>43</v>
      </c>
      <c r="D13" t="s">
        <v>50</v>
      </c>
      <c r="I13" s="3"/>
      <c r="J13" s="3"/>
      <c r="K13" s="3"/>
      <c r="L13" s="3"/>
      <c r="M13" s="3"/>
    </row>
    <row r="14" spans="1:13" x14ac:dyDescent="0.3">
      <c r="A14" t="s">
        <v>16</v>
      </c>
      <c r="B14" t="s">
        <v>37</v>
      </c>
      <c r="C14" t="s">
        <v>43</v>
      </c>
      <c r="D14" t="s">
        <v>61</v>
      </c>
    </row>
    <row r="15" spans="1:13" x14ac:dyDescent="0.3">
      <c r="A15" t="s">
        <v>11</v>
      </c>
      <c r="B15" t="s">
        <v>32</v>
      </c>
      <c r="C15" t="s">
        <v>44</v>
      </c>
      <c r="D15" t="s">
        <v>56</v>
      </c>
    </row>
    <row r="16" spans="1:13" x14ac:dyDescent="0.3">
      <c r="A16" t="s">
        <v>9</v>
      </c>
      <c r="B16" t="s">
        <v>30</v>
      </c>
      <c r="C16" t="s">
        <v>43</v>
      </c>
      <c r="D16" t="s">
        <v>54</v>
      </c>
    </row>
    <row r="17" spans="1:4" x14ac:dyDescent="0.3">
      <c r="A17" t="s">
        <v>3</v>
      </c>
      <c r="B17" t="s">
        <v>24</v>
      </c>
      <c r="C17" t="s">
        <v>44</v>
      </c>
      <c r="D17" t="s">
        <v>49</v>
      </c>
    </row>
    <row r="18" spans="1:4" x14ac:dyDescent="0.3">
      <c r="A18" t="s">
        <v>18</v>
      </c>
      <c r="B18" t="s">
        <v>39</v>
      </c>
      <c r="C18" t="s">
        <v>45</v>
      </c>
      <c r="D18" t="s">
        <v>63</v>
      </c>
    </row>
    <row r="19" spans="1:4" x14ac:dyDescent="0.3">
      <c r="A19" t="s">
        <v>12</v>
      </c>
      <c r="B19" t="s">
        <v>33</v>
      </c>
      <c r="C19" t="s">
        <v>43</v>
      </c>
      <c r="D19" t="s">
        <v>69</v>
      </c>
    </row>
    <row r="20" spans="1:4" x14ac:dyDescent="0.3">
      <c r="A20" t="s">
        <v>13</v>
      </c>
      <c r="B20" t="s">
        <v>34</v>
      </c>
      <c r="C20" t="s">
        <v>44</v>
      </c>
      <c r="D20" t="s">
        <v>76</v>
      </c>
    </row>
    <row r="21" spans="1:4" x14ac:dyDescent="0.3">
      <c r="A21" t="s">
        <v>14</v>
      </c>
      <c r="B21" t="s">
        <v>35</v>
      </c>
      <c r="C21" t="s">
        <v>43</v>
      </c>
      <c r="D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</vt:lpstr>
      <vt:lpstr>Participant2</vt:lpstr>
      <vt:lpstr>Participant3</vt:lpstr>
      <vt:lpstr>Participant4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aditijain22.student@outlook.com</dc:creator>
  <cp:lastModifiedBy>aditijain22.student@outlook.com</cp:lastModifiedBy>
  <dcterms:created xsi:type="dcterms:W3CDTF">2025-10-16T12:03:44Z</dcterms:created>
  <dcterms:modified xsi:type="dcterms:W3CDTF">2025-10-16T12:42:45Z</dcterms:modified>
</cp:coreProperties>
</file>